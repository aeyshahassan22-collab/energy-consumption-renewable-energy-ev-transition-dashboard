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hidePivotFieldList="1"/>
  <mc:AlternateContent xmlns:mc="http://schemas.openxmlformats.org/markup-compatibility/2006">
    <mc:Choice Requires="x15">
      <x15ac:absPath xmlns:x15ac="http://schemas.microsoft.com/office/spreadsheetml/2010/11/ac" url="/Users/akifhasan/Downloads/"/>
    </mc:Choice>
  </mc:AlternateContent>
  <xr:revisionPtr revIDLastSave="0" documentId="8_{67BB6E94-3535-1443-916E-37F9F75B3092}" xr6:coauthVersionLast="47" xr6:coauthVersionMax="47" xr10:uidLastSave="{00000000-0000-0000-0000-000000000000}"/>
  <bookViews>
    <workbookView xWindow="160" yWindow="920" windowWidth="33880" windowHeight="19860" xr2:uid="{00000000-000D-0000-FFFF-FFFF00000000}"/>
  </bookViews>
  <sheets>
    <sheet name="Title page" sheetId="10" r:id="rId1"/>
    <sheet name="AUS" sheetId="1" r:id="rId2"/>
    <sheet name="NSW" sheetId="2" r:id="rId3"/>
    <sheet name="VIC" sheetId="3" r:id="rId4"/>
    <sheet name="QLD" sheetId="4" r:id="rId5"/>
    <sheet name="WA" sheetId="5" r:id="rId6"/>
    <sheet name="SA" sheetId="6" r:id="rId7"/>
    <sheet name="TAS" sheetId="7" r:id="rId8"/>
    <sheet name="NT" sheetId="8" r:id="rId9"/>
    <sheet name="State summary" sheetId="9" r:id="rId10"/>
    <sheet name="Energy_Data" sheetId="22" r:id="rId11"/>
    <sheet name="Renewable_Data" sheetId="12" r:id="rId12"/>
    <sheet name="EV_Data" sheetId="13" r:id="rId13"/>
    <sheet name="Emissions_Data" sheetId="14" r:id="rId14"/>
    <sheet name="Master_Data" sheetId="15" r:id="rId15"/>
    <sheet name="Dashboard" sheetId="29" r:id="rId16"/>
    <sheet name="Pivot_Tables" sheetId="19" r:id="rId17"/>
    <sheet name="Research_Questions" sheetId="16" r:id="rId18"/>
    <sheet name="Data_Quality_Checks" sheetId="17" r:id="rId19"/>
  </sheets>
  <definedNames>
    <definedName name="_xlchart.v1.0" hidden="1">Master_Data!$A$1</definedName>
    <definedName name="_xlchart.v1.1" hidden="1">Master_Data!$A$2:$A$10</definedName>
    <definedName name="_xlchart.v1.10" hidden="1">Master_Data!$F$1</definedName>
    <definedName name="_xlchart.v1.11" hidden="1">Master_Data!$F$2:$F$10</definedName>
    <definedName name="_xlchart.v1.12" hidden="1">Master_Data!$A$1</definedName>
    <definedName name="_xlchart.v1.13" hidden="1">Master_Data!$A$2:$A$10</definedName>
    <definedName name="_xlchart.v1.14" hidden="1">Master_Data!$B$1</definedName>
    <definedName name="_xlchart.v1.15" hidden="1">Master_Data!$B$2:$B$10</definedName>
    <definedName name="_xlchart.v1.16" hidden="1">Master_Data!$C$1</definedName>
    <definedName name="_xlchart.v1.17" hidden="1">Master_Data!$C$2:$C$10</definedName>
    <definedName name="_xlchart.v1.18" hidden="1">Master_Data!$D$1</definedName>
    <definedName name="_xlchart.v1.19" hidden="1">Master_Data!$D$2:$D$10</definedName>
    <definedName name="_xlchart.v1.2" hidden="1">Master_Data!$B$1</definedName>
    <definedName name="_xlchart.v1.20" hidden="1">Master_Data!$E$1</definedName>
    <definedName name="_xlchart.v1.21" hidden="1">Master_Data!$E$2:$E$10</definedName>
    <definedName name="_xlchart.v1.22" hidden="1">Master_Data!$F$1</definedName>
    <definedName name="_xlchart.v1.23" hidden="1">Master_Data!$F$2:$F$10</definedName>
    <definedName name="_xlchart.v1.3" hidden="1">Master_Data!$B$2:$B$10</definedName>
    <definedName name="_xlchart.v1.4" hidden="1">Master_Data!$C$1</definedName>
    <definedName name="_xlchart.v1.5" hidden="1">Master_Data!$C$2:$C$10</definedName>
    <definedName name="_xlchart.v1.6" hidden="1">Master_Data!$D$1</definedName>
    <definedName name="_xlchart.v1.7" hidden="1">Master_Data!$D$2:$D$10</definedName>
    <definedName name="_xlchart.v1.8" hidden="1">Master_Data!$E$1</definedName>
    <definedName name="_xlchart.v1.9" hidden="1">Master_Data!$E$2:$E$10</definedName>
  </definedNames>
  <calcPr calcId="191029"/>
  <pivotCaches>
    <pivotCache cacheId="186" r:id="rId20"/>
    <pivotCache cacheId="191" r:id="rId21"/>
    <pivotCache cacheId="201" r:id="rId22"/>
    <pivotCache cacheId="205"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5" l="1"/>
  <c r="C8" i="15"/>
  <c r="C7" i="15"/>
  <c r="C6" i="15"/>
  <c r="C5" i="15"/>
  <c r="C4" i="15"/>
  <c r="C3" i="15"/>
  <c r="D6" i="12" l="1"/>
  <c r="D2" i="12"/>
  <c r="D8" i="12"/>
  <c r="D5" i="12"/>
  <c r="D7" i="12"/>
  <c r="D3" i="12"/>
  <c r="D4" i="12"/>
</calcChain>
</file>

<file path=xl/sharedStrings.xml><?xml version="1.0" encoding="utf-8"?>
<sst xmlns="http://schemas.openxmlformats.org/spreadsheetml/2006/main" count="511" uniqueCount="171">
  <si>
    <t>Coal</t>
  </si>
  <si>
    <t>Oil</t>
  </si>
  <si>
    <t>Gas</t>
  </si>
  <si>
    <t>Renewables</t>
  </si>
  <si>
    <t>Total</t>
  </si>
  <si>
    <t>1960-61</t>
  </si>
  <si>
    <t>na</t>
  </si>
  <si>
    <t>1961-62</t>
  </si>
  <si>
    <t>1962-63</t>
  </si>
  <si>
    <t>1963-64</t>
  </si>
  <si>
    <t>1964-65</t>
  </si>
  <si>
    <t>1965-66</t>
  </si>
  <si>
    <t>1966-67</t>
  </si>
  <si>
    <t>1967-78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</si>
  <si>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</si>
  <si>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</si>
  <si>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</si>
  <si>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</si>
  <si>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</si>
  <si>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</si>
  <si>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</si>
  <si>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</si>
  <si>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</si>
  <si>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</si>
  <si>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</si>
  <si>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</si>
  <si>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</si>
  <si>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</si>
  <si>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</si>
  <si>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</si>
  <si>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</si>
  <si>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</si>
  <si>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</si>
  <si>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</si>
  <si>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</si>
  <si>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</si>
  <si>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</si>
  <si>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</si>
  <si>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</si>
  <si>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</si>
  <si>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</si>
  <si>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</si>
  <si>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</si>
  <si>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</si>
  <si>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</si>
  <si>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</si>
  <si>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</si>
  <si>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</si>
  <si>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</si>
  <si>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</si>
  <si>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</si>
  <si>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</si>
  <si>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</si>
  <si>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</si>
  <si>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</si>
  <si>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</si>
  <si>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</si>
  <si>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</si>
  <si>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</si>
  <si>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</si>
  <si>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</si>
  <si>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</si>
  <si>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</si>
  <si>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</si>
  <si>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</si>
  <si>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</si>
  <si>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</si>
  <si>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</si>
  <si>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</si>
  <si>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</si>
  <si>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PJ</t>
  </si>
  <si>
    <t>Table C1</t>
  </si>
  <si>
    <t>Table C2</t>
  </si>
  <si>
    <t>Table C3</t>
  </si>
  <si>
    <t>Table C4</t>
  </si>
  <si>
    <t>Table C5</t>
  </si>
  <si>
    <t>Table C6</t>
  </si>
  <si>
    <t>Table C7</t>
  </si>
  <si>
    <t>Table C8</t>
  </si>
  <si>
    <t>New South Wales</t>
  </si>
  <si>
    <t>Victoria</t>
  </si>
  <si>
    <t>Queensland</t>
  </si>
  <si>
    <t>Western Australia</t>
  </si>
  <si>
    <t>South Australia</t>
  </si>
  <si>
    <t>Tasmania</t>
  </si>
  <si>
    <t>Northern Territory</t>
  </si>
  <si>
    <t>Australia</t>
  </si>
  <si>
    <t>Table C9</t>
  </si>
  <si>
    <t>Notes:</t>
  </si>
  <si>
    <t>Primary energy consumption in Australia, by fuel, energy units a</t>
  </si>
  <si>
    <t>Statistical Discrepancy b</t>
  </si>
  <si>
    <r>
      <t>a</t>
    </r>
    <r>
      <rPr>
        <sz val="10"/>
        <rFont val="Arial"/>
        <family val="2"/>
      </rPr>
      <t xml:space="preserve"> Primary energy consumption is the total quantity (in energy units) of primary and derived fuels consumed less the quantity of derived fuels produced. </t>
    </r>
  </si>
  <si>
    <r>
      <t>b</t>
    </r>
    <r>
      <rPr>
        <sz val="10"/>
        <rFont val="Arial"/>
        <family val="2"/>
      </rPr>
      <t xml:space="preserve"> Includes energy that is unable to be classified as a result of revisions made to historical series, and discrepancies due to the rounding of totals.</t>
    </r>
  </si>
  <si>
    <r>
      <rPr>
        <b/>
        <sz val="10"/>
        <rFont val="Arial"/>
        <family val="2"/>
      </rPr>
      <t>na</t>
    </r>
    <r>
      <rPr>
        <sz val="10"/>
        <rFont val="Arial"/>
        <family val="2"/>
      </rPr>
      <t xml:space="preserve"> Not available.</t>
    </r>
  </si>
  <si>
    <t>Primary energy consumption in New South Wales, by fuel, energy units a</t>
  </si>
  <si>
    <t>Eastern states and territories trade derived fuels (electricity), which is also captured in this discrepancy.</t>
  </si>
  <si>
    <t>Data for NSW includes ACT</t>
  </si>
  <si>
    <r>
      <t>b</t>
    </r>
    <r>
      <rPr>
        <sz val="10"/>
        <rFont val="Arial"/>
        <family val="2"/>
      </rPr>
      <t xml:space="preserve"> Includes fuels that are unable to be classified, and discrepancies due to the rounding of totals.</t>
    </r>
  </si>
  <si>
    <t>Primary energy consumption in Victoria, by fuel, energy units a</t>
  </si>
  <si>
    <t>Primary energy consumption in Queensland, by fuel, energy units a</t>
  </si>
  <si>
    <t>Primary energy consumption in Western Australia, by fuel, energy units a</t>
  </si>
  <si>
    <r>
      <t>b</t>
    </r>
    <r>
      <rPr>
        <sz val="10"/>
        <rFont val="Arial"/>
        <family val="2"/>
      </rPr>
      <t xml:space="preserve"> Discrepancies are due to rounding.</t>
    </r>
  </si>
  <si>
    <t>Primary energy consumption in South Australia, by fuel, energy units a</t>
  </si>
  <si>
    <t>Primary energy consumption in Tasmania, by fuel, energy units a</t>
  </si>
  <si>
    <t>Primary energy consumption in Northern Territory, by fuel, energy units a</t>
  </si>
  <si>
    <t>Primary energy consumption in Australia, by state and territory, energy units a</t>
  </si>
  <si>
    <t>State and territory totals do not sum to national totals for the 1960s and early 1970s.</t>
  </si>
  <si>
    <t>Australian Energy Statistics, Table C</t>
  </si>
  <si>
    <t>Australian energy consumption, by state and territory, by fuel, energy units</t>
  </si>
  <si>
    <t>Citation: Department of Climate Change, Energy, the Environment and Water, Australian Energy Statistics, Table C, August 2025</t>
  </si>
  <si>
    <t>Year</t>
  </si>
  <si>
    <t>Energy Consumption (PJ)</t>
  </si>
  <si>
    <t>Renewable Generation (GWh)</t>
  </si>
  <si>
    <t>Total Generation (GWh)</t>
  </si>
  <si>
    <t>Renewable Share %</t>
  </si>
  <si>
    <t>EV Sales</t>
  </si>
  <si>
    <t>EV Market Share %</t>
  </si>
  <si>
    <t>NOTE : EV sales data for 2024 represents year-to-date (September 2024) values sourced from the Electric Vehicle Council.</t>
  </si>
  <si>
    <t>Total Emissions (Mt CO₂-e)</t>
  </si>
  <si>
    <t>Emissions</t>
  </si>
  <si>
    <t>Energy Consumption(Pj)</t>
  </si>
  <si>
    <t>Research Questions</t>
  </si>
  <si>
    <t>How has Australian energy consumption changed over time?</t>
  </si>
  <si>
    <t>How has renewable energy adoption changed?</t>
  </si>
  <si>
    <t>How quickly are EVs being adopted?</t>
  </si>
  <si>
    <t>What relationship exists between EV growth and emissions trends?</t>
  </si>
  <si>
    <t>What evidence exists of Australia's transition towards a lower-carbon economy?</t>
  </si>
  <si>
    <t>Check</t>
  </si>
  <si>
    <t>Result</t>
  </si>
  <si>
    <t>Missing Values</t>
  </si>
  <si>
    <t>Reviewed</t>
  </si>
  <si>
    <t>Duplicate Records</t>
  </si>
  <si>
    <t>Removed</t>
  </si>
  <si>
    <t>Data Types</t>
  </si>
  <si>
    <t>Verified</t>
  </si>
  <si>
    <t>Year Alignment</t>
  </si>
  <si>
    <t>Standardised</t>
  </si>
  <si>
    <t>Renewable Percentages</t>
  </si>
  <si>
    <t>Calculated and validated</t>
  </si>
  <si>
    <t>Emissions Values</t>
  </si>
  <si>
    <t>Verified against source data</t>
  </si>
  <si>
    <t>NOTE: Data quality checks were conducted to ensure completeness, consistency and reliability of reporting outputs prior to analysis.</t>
  </si>
  <si>
    <t>Energy Consumption, Renewable Energy &amp; EV Transition Analysis Dashboard</t>
  </si>
  <si>
    <t>Total Energy Consumption (2024)</t>
  </si>
  <si>
    <t>5,976.7 PJ</t>
  </si>
  <si>
    <t>Renewable Share (Latest Available)</t>
  </si>
  <si>
    <t>EV Market Share (2024)</t>
  </si>
  <si>
    <t>Total Emissions (2024)</t>
  </si>
  <si>
    <t>110.0 Mt CO₂-e</t>
  </si>
  <si>
    <t>EV Sales (2024)</t>
  </si>
  <si>
    <t>Energy Trend</t>
  </si>
  <si>
    <t>Grand Total</t>
  </si>
  <si>
    <t>Renewable Trend</t>
  </si>
  <si>
    <t>Average of Renewable Share %</t>
  </si>
  <si>
    <t xml:space="preserve">EV Sales </t>
  </si>
  <si>
    <t>EV Adoption</t>
  </si>
  <si>
    <t xml:space="preserve">Emissions </t>
  </si>
  <si>
    <t>Emissions Trend</t>
  </si>
  <si>
    <t xml:space="preserve">Energy Consumption (PJ) </t>
  </si>
  <si>
    <t>Sum of Energy</t>
  </si>
  <si>
    <t>Q1.</t>
  </si>
  <si>
    <t>Ans.</t>
  </si>
  <si>
    <t>Australian energy consumption remained relatively stable between 2016 and 2024. Consumption peaked in 2019 before declining in 2021 and gradually recovering by 2024. Overall, there was no significant long-term increase or decrease in energy demand.</t>
  </si>
  <si>
    <t>Q2.</t>
  </si>
  <si>
    <t>Renewable energy share increased from 15% in 2016 to 31% in 2022, more than doubling over the period. This indicates substantial growth in renewable energy generation and integration into Australia's energy mix.</t>
  </si>
  <si>
    <t>Q3.</t>
  </si>
  <si>
    <t>Electric vehicle adoption accelerated rapidly after 2020. Annual EV sales increased from 6,900 vehicles in 2020 to 98,436 vehicles in 2023 before moderating slightly to 85,319 vehicles in 2024. EV market share increased from 0.12% in 2016 to 9.53% in 2024, demonstrating strong growth in consumer adoption.</t>
  </si>
  <si>
    <t>Q4.</t>
  </si>
  <si>
    <t>EV adoption increased significantly over the study period while national emissions generally declined. Although the dashboard does not establish direct causation, the simultaneous increase in EV uptake and reduction in emissions suggests that transport electrification may be contributing to Australia's broader decarbonisation efforts.</t>
  </si>
  <si>
    <t>Q5.</t>
  </si>
  <si>
    <t>Several indicators demonstrate Australia's transition towards a lower-carbon economy:
1. Renewable energy share increased from 15% to 31%.
2. EV market share rose from 0.12% to 9.53%.
3. Annual EV sales grew substantially after 2020.
4. National emissions declined from 134 Mt CO₂-e in 2016 to approximately 110 Mt CO₂-e in 2024.
5. Energy consumption remained relatively stable despite significant changes in energy sources and transport technologies.
Together, these trends indicate a gradual shift away from carbon-intensive energy systems toward cleaner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</si>
</sst>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73" formatCode="_-* #,##0.0_-;\-* #,##0.0_-;_-* &quot;-&quot;??_-;_-@_-"/>
  </numFmts>
  <fonts count="22">
    <font>
      <sz val="11"/>
      <color rgb="FF000000"/>
      <name val="Calibri"/>
      <family val="2"/>
      <scheme val="minor"/>
    </font>
    <font>
      <sz val="11"/>
      <color rgb="FF000000"/>
      <name val="Arial"/>
      <family val="2"/>
    </font>
    <font>
      <b/>
      <sz val="11"/>
      <color rgb="FF000000"/>
      <name val="Arial"/>
      <family val="2"/>
    </font>
    <font>
      <b/>
      <sz val="14"/>
      <color rgb="FF22789A"/>
      <name val="Arial"/>
      <family val="2"/>
    </font>
    <font>
      <sz val="10"/>
      <name val="Arial"/>
      <family val="2"/>
    </font>
    <font>
      <sz val="10"/>
      <color rgb="FF000000"/>
      <name val="Arial"/>
      <family val="2"/>
    </font>
    <font>
      <b/>
      <sz val="10"/>
      <name val="Arial"/>
      <family val="2"/>
    </font>
    <font>
      <sz val="10"/>
      <name val="Helv"/>
    </font>
    <font>
      <b/>
      <sz val="18"/>
      <color rgb="FF22789A"/>
      <name val="Arial"/>
      <family val="2"/>
    </font>
    <font>
      <sz val="11"/>
      <color rgb="FF000000"/>
      <name val="Calibri"/>
      <family val="2"/>
      <scheme val="minor"/>
    </font>
    <font>
      <sz val="14"/>
      <color rgb="FF000000"/>
      <name val="Calibri"/>
      <family val="2"/>
      <scheme val="minor"/>
    </font>
    <font>
      <sz val="16"/>
      <color rgb="FF000000"/>
      <name val="Calibri"/>
      <family val="2"/>
      <scheme val="minor"/>
    </font>
    <font>
      <sz val="8"/>
      <name val="Calibri"/>
      <family val="2"/>
      <scheme val="minor"/>
    </font>
    <font>
      <b/>
      <sz val="11"/>
      <color rgb="FF000000"/>
      <name val="Calibri"/>
      <family val="2"/>
      <scheme val="minor"/>
    </font>
    <font>
      <b/>
      <sz val="14"/>
      <color rgb="FF000000"/>
      <name val="Calibri"/>
      <family val="2"/>
      <scheme val="minor"/>
    </font>
    <font>
      <b/>
      <sz val="16"/>
      <color rgb="FF000000"/>
      <name val="Calibri"/>
      <family val="2"/>
      <scheme val="minor"/>
    </font>
    <font>
      <b/>
      <sz val="18"/>
      <color rgb="FF000000"/>
      <name val="Calibri"/>
      <family val="2"/>
      <scheme val="minor"/>
    </font>
    <font>
      <b/>
      <sz val="28"/>
      <color rgb="FF000000"/>
      <name val="Calibri"/>
      <family val="2"/>
      <scheme val="minor"/>
    </font>
    <font>
      <sz val="18"/>
      <color rgb="FF000000"/>
      <name val="Calibri"/>
      <family val="2"/>
      <scheme val="minor"/>
    </font>
    <font>
      <sz val="20"/>
      <color rgb="FF000000"/>
      <name val="Calibri"/>
      <family val="2"/>
      <scheme val="minor"/>
    </font>
    <font>
      <b/>
      <sz val="13.5"/>
      <color rgb="FF000000"/>
      <name val="Calibri"/>
      <family val="2"/>
      <scheme val="minor"/>
    </font>
    <font>
      <sz val="14"/>
      <color rgb="FF000000"/>
      <name val="Calibri (Body)"/>
    </font>
  </fonts>
  <fills count="5">
    <fill>
      <patternFill patternType="none"/>
    </fill>
    <fill>
      <patternFill patternType="gray125"/>
    </fill>
    <fill>
      <patternFill patternType="solid">
        <fgColor theme="0" tint="-0.249977111117893"/>
        <bgColor indexed="64"/>
      </patternFill>
    </fill>
    <fill>
      <patternFill patternType="solid">
        <fgColor theme="3" tint="0.79998168889431442"/>
        <bgColor indexed="64"/>
      </patternFill>
    </fill>
    <fill>
      <patternFill patternType="solid">
        <fgColor theme="4" tint="0.39997558519241921"/>
        <bgColor indexed="64"/>
      </patternFill>
    </fill>
  </fills>
  <borders count="2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4" fillId="0" borderId="0"/>
    <xf numFmtId="0" fontId="7" fillId="0" borderId="0"/>
    <xf numFmtId="43" fontId="9" fillId="0" borderId="0" applyFont="0" applyFill="0" applyBorder="0" applyAlignment="0" applyProtection="0"/>
  </cellStyleXfs>
  <cellXfs count="80">
    <xf numFmtId="0" fontId="0" fillId="0" borderId="0" xfId="0"/>
    <xf numFmtId="0" fontId="1" fillId="0" borderId="1" xfId="0" applyFont="1" applyBorder="1"/>
    <xf numFmtId="0" fontId="1" fillId="0" borderId="0" xfId="0" applyFont="1"/>
    <xf numFmtId="164" fontId="1" fillId="0" borderId="0" xfId="0" applyNumberFormat="1" applyFont="1" applyAlignment="1">
      <alignment horizontal="right"/>
    </xf>
    <xf numFmtId="164" fontId="1" fillId="0" borderId="2" xfId="0" applyNumberFormat="1" applyFont="1" applyBorder="1" applyAlignment="1">
      <alignment horizontal="right"/>
    </xf>
    <xf numFmtId="0" fontId="2" fillId="0" borderId="1" xfId="0" applyFont="1" applyBorder="1" applyAlignment="1">
      <alignment horizontal="right" wrapText="1"/>
    </xf>
    <xf numFmtId="0" fontId="2" fillId="0" borderId="0" xfId="0" applyFont="1" applyAlignment="1">
      <alignment horizontal="left"/>
    </xf>
    <xf numFmtId="0" fontId="2" fillId="0" borderId="2" xfId="0" applyFont="1" applyBorder="1" applyAlignment="1">
      <alignment horizontal="left"/>
    </xf>
    <xf numFmtId="0" fontId="1" fillId="0" borderId="0" xfId="0" applyFont="1" applyAlignment="1">
      <alignment horizontal="right" wrapText="1"/>
    </xf>
    <xf numFmtId="0" fontId="3" fillId="0" borderId="0" xfId="0" applyFont="1"/>
    <xf numFmtId="0" fontId="5" fillId="0" borderId="0" xfId="0" applyFont="1"/>
    <xf numFmtId="0" fontId="6" fillId="0" borderId="0" xfId="1" applyFont="1"/>
    <xf numFmtId="165" fontId="6" fillId="0" borderId="0" xfId="1" applyNumberFormat="1" applyFont="1"/>
    <xf numFmtId="165" fontId="4" fillId="0" borderId="0" xfId="1" applyNumberFormat="1"/>
    <xf numFmtId="0" fontId="4" fillId="0" borderId="0" xfId="2" applyFont="1"/>
    <xf numFmtId="0" fontId="8" fillId="0" borderId="0" xfId="0" applyFont="1"/>
    <xf numFmtId="0" fontId="11" fillId="0" borderId="0" xfId="0" applyFont="1"/>
    <xf numFmtId="0" fontId="11" fillId="0" borderId="0" xfId="0" applyFont="1" applyAlignment="1"/>
    <xf numFmtId="0" fontId="14" fillId="0" borderId="0" xfId="0" applyFont="1" applyAlignment="1">
      <alignment wrapText="1"/>
    </xf>
    <xf numFmtId="2" fontId="0" fillId="0" borderId="0" xfId="0" applyNumberFormat="1"/>
    <xf numFmtId="0" fontId="0" fillId="0" borderId="0" xfId="0" applyNumberFormat="1"/>
    <xf numFmtId="1" fontId="0" fillId="0" borderId="0" xfId="0" applyNumberFormat="1"/>
    <xf numFmtId="4" fontId="0" fillId="0" borderId="0" xfId="0" applyNumberFormat="1"/>
    <xf numFmtId="10" fontId="0" fillId="0" borderId="0" xfId="0" applyNumberFormat="1"/>
    <xf numFmtId="0" fontId="13" fillId="0" borderId="0" xfId="0" applyFont="1"/>
    <xf numFmtId="0" fontId="15" fillId="0" borderId="0" xfId="0" applyFont="1"/>
    <xf numFmtId="0" fontId="14" fillId="0" borderId="0" xfId="0" applyFont="1"/>
    <xf numFmtId="3" fontId="0" fillId="0" borderId="0" xfId="0" applyNumberFormat="1"/>
    <xf numFmtId="173" fontId="0" fillId="0" borderId="3" xfId="3" applyNumberFormat="1" applyFont="1" applyBorder="1"/>
    <xf numFmtId="0" fontId="15" fillId="0" borderId="2" xfId="0" applyFont="1" applyBorder="1"/>
    <xf numFmtId="0" fontId="0" fillId="0" borderId="0" xfId="0" applyAlignment="1">
      <alignment horizontal="left"/>
    </xf>
    <xf numFmtId="0" fontId="15" fillId="2" borderId="0" xfId="0" applyFont="1" applyFill="1" applyAlignment="1">
      <alignment horizontal="center"/>
    </xf>
    <xf numFmtId="0" fontId="0" fillId="0" borderId="0" xfId="0"/>
    <xf numFmtId="0" fontId="11" fillId="0" borderId="0" xfId="0" applyNumberFormat="1" applyFont="1"/>
    <xf numFmtId="0" fontId="0" fillId="0" borderId="0" xfId="0" pivotButton="1"/>
    <xf numFmtId="1" fontId="0" fillId="0" borderId="0" xfId="0" applyNumberFormat="1" applyAlignment="1">
      <alignment horizontal="left"/>
    </xf>
    <xf numFmtId="0" fontId="14" fillId="0" borderId="0" xfId="0" pivotButton="1" applyFont="1"/>
    <xf numFmtId="9" fontId="0" fillId="0" borderId="0" xfId="0" applyNumberFormat="1"/>
    <xf numFmtId="0" fontId="14" fillId="2" borderId="0" xfId="0" applyFont="1" applyFill="1" applyAlignment="1">
      <alignment horizontal="center"/>
    </xf>
    <xf numFmtId="2" fontId="14" fillId="0" borderId="0" xfId="0" applyNumberFormat="1" applyFont="1"/>
    <xf numFmtId="0" fontId="19" fillId="0" borderId="0" xfId="0" applyFont="1" applyAlignment="1">
      <alignment horizontal="center"/>
    </xf>
    <xf numFmtId="0" fontId="16" fillId="4" borderId="4" xfId="0" applyFont="1" applyFill="1" applyBorder="1" applyAlignment="1">
      <alignment horizontal="center"/>
    </xf>
    <xf numFmtId="0" fontId="16" fillId="4" borderId="5" xfId="0" applyFont="1" applyFill="1" applyBorder="1" applyAlignment="1">
      <alignment horizontal="center"/>
    </xf>
    <xf numFmtId="0" fontId="16" fillId="4" borderId="6" xfId="0" applyFont="1" applyFill="1" applyBorder="1" applyAlignment="1">
      <alignment horizontal="center"/>
    </xf>
    <xf numFmtId="0" fontId="16" fillId="4" borderId="7" xfId="0" applyFont="1" applyFill="1" applyBorder="1" applyAlignment="1">
      <alignment horizontal="center"/>
    </xf>
    <xf numFmtId="0" fontId="16" fillId="4" borderId="0" xfId="0" applyFont="1" applyFill="1" applyBorder="1" applyAlignment="1">
      <alignment horizontal="center"/>
    </xf>
    <xf numFmtId="0" fontId="16" fillId="4" borderId="8" xfId="0" applyFont="1" applyFill="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0" fontId="18" fillId="0" borderId="11" xfId="0" applyFont="1" applyBorder="1" applyAlignment="1">
      <alignment horizontal="center"/>
    </xf>
    <xf numFmtId="10" fontId="18" fillId="0" borderId="12" xfId="0" applyNumberFormat="1" applyFont="1" applyBorder="1" applyAlignment="1">
      <alignment horizontal="center"/>
    </xf>
    <xf numFmtId="10" fontId="18" fillId="0" borderId="13" xfId="0" applyNumberFormat="1" applyFont="1" applyBorder="1" applyAlignment="1">
      <alignment horizontal="center"/>
    </xf>
    <xf numFmtId="10" fontId="18" fillId="0" borderId="14" xfId="0" applyNumberFormat="1" applyFont="1" applyBorder="1" applyAlignment="1">
      <alignment horizontal="center"/>
    </xf>
    <xf numFmtId="0" fontId="16" fillId="4" borderId="9" xfId="0" applyFont="1" applyFill="1" applyBorder="1" applyAlignment="1">
      <alignment horizontal="center"/>
    </xf>
    <xf numFmtId="0" fontId="16" fillId="4" borderId="10" xfId="0" applyFont="1" applyFill="1" applyBorder="1" applyAlignment="1">
      <alignment horizontal="center"/>
    </xf>
    <xf numFmtId="0" fontId="16" fillId="4" borderId="11" xfId="0" applyFont="1" applyFill="1" applyBorder="1" applyAlignment="1">
      <alignment horizontal="center"/>
    </xf>
    <xf numFmtId="0" fontId="16" fillId="4" borderId="15" xfId="0" applyFont="1" applyFill="1" applyBorder="1" applyAlignment="1">
      <alignment horizontal="center"/>
    </xf>
    <xf numFmtId="0" fontId="16" fillId="4" borderId="16" xfId="0" applyFont="1" applyFill="1" applyBorder="1" applyAlignment="1">
      <alignment horizontal="center"/>
    </xf>
    <xf numFmtId="0" fontId="16" fillId="4" borderId="17" xfId="0" applyFont="1" applyFill="1" applyBorder="1" applyAlignment="1">
      <alignment horizontal="center"/>
    </xf>
    <xf numFmtId="0" fontId="16" fillId="4" borderId="18" xfId="0" applyFont="1" applyFill="1" applyBorder="1" applyAlignment="1">
      <alignment horizontal="center"/>
    </xf>
    <xf numFmtId="0" fontId="16" fillId="4" borderId="19" xfId="0" applyFont="1" applyFill="1" applyBorder="1" applyAlignment="1">
      <alignment horizontal="center"/>
    </xf>
    <xf numFmtId="0" fontId="16" fillId="4" borderId="20" xfId="0" applyFont="1" applyFill="1" applyBorder="1" applyAlignment="1">
      <alignment horizontal="center"/>
    </xf>
    <xf numFmtId="10" fontId="18" fillId="0" borderId="21" xfId="0" applyNumberFormat="1" applyFont="1" applyBorder="1" applyAlignment="1">
      <alignment horizontal="center"/>
    </xf>
    <xf numFmtId="10" fontId="18" fillId="0" borderId="22" xfId="0" applyNumberFormat="1" applyFont="1" applyBorder="1" applyAlignment="1">
      <alignment horizontal="center"/>
    </xf>
    <xf numFmtId="10" fontId="18" fillId="0" borderId="23" xfId="0" applyNumberFormat="1" applyFont="1" applyBorder="1" applyAlignment="1">
      <alignment horizontal="center"/>
    </xf>
    <xf numFmtId="3" fontId="18" fillId="0" borderId="12" xfId="0" applyNumberFormat="1" applyFont="1" applyBorder="1" applyAlignment="1">
      <alignment horizontal="center"/>
    </xf>
    <xf numFmtId="3" fontId="18" fillId="0" borderId="13" xfId="0" applyNumberFormat="1" applyFont="1" applyBorder="1" applyAlignment="1">
      <alignment horizontal="center"/>
    </xf>
    <xf numFmtId="3" fontId="18" fillId="0" borderId="14" xfId="0" applyNumberFormat="1" applyFont="1" applyBorder="1" applyAlignment="1">
      <alignment horizontal="center"/>
    </xf>
    <xf numFmtId="0" fontId="18" fillId="0" borderId="12" xfId="0" applyFont="1"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xf numFmtId="0" fontId="17" fillId="3" borderId="2" xfId="0" applyFont="1" applyFill="1" applyBorder="1" applyAlignment="1">
      <alignment horizontal="center"/>
    </xf>
    <xf numFmtId="0" fontId="20" fillId="0" borderId="0" xfId="0" applyFont="1"/>
    <xf numFmtId="0" fontId="18" fillId="0" borderId="0" xfId="0" applyFont="1"/>
    <xf numFmtId="0" fontId="10" fillId="0" borderId="5" xfId="0" applyFont="1" applyBorder="1" applyAlignment="1">
      <alignment horizontal="center"/>
    </xf>
    <xf numFmtId="0" fontId="16" fillId="0" borderId="0" xfId="0" applyFont="1"/>
    <xf numFmtId="0" fontId="10" fillId="0" borderId="0" xfId="0" applyFont="1" applyAlignment="1">
      <alignment horizontal="left" wrapText="1"/>
    </xf>
    <xf numFmtId="0" fontId="10" fillId="0" borderId="0" xfId="0" applyFont="1" applyAlignment="1">
      <alignment horizontal="left" vertical="center" wrapText="1"/>
    </xf>
    <xf numFmtId="0" fontId="0" fillId="0" borderId="0" xfId="0" applyAlignment="1">
      <alignment horizontal="left" vertical="top" wrapText="1"/>
    </xf>
    <xf numFmtId="0" fontId="21" fillId="0" borderId="0" xfId="0" applyFont="1" applyAlignment="1">
      <alignment horizontal="left" vertical="top" wrapText="1"/>
    </xf>
  </cellXfs>
  <cellStyles count="4">
    <cellStyle name="Comma" xfId="3" builtinId="3"/>
    <cellStyle name="Normal" xfId="0" builtinId="0"/>
    <cellStyle name="Normal 2" xfId="1" xr:uid="{AC3628A6-4018-436D-975A-392976070200}"/>
    <cellStyle name="Normal_Table H Working" xfId="2" xr:uid="{657BAB7B-0CB5-4441-BA5F-B9FAC23BADE3}"/>
  </cellStyles>
  <dxfs count="29">
    <dxf>
      <numFmt numFmtId="2" formatCode="0.00"/>
    </dxf>
    <dxf>
      <numFmt numFmtId="2" formatCode="0.00"/>
    </dxf>
    <dxf>
      <numFmt numFmtId="2" formatCode="0.00"/>
    </dxf>
    <dxf>
      <numFmt numFmtId="2" formatCode="0.00"/>
    </dxf>
    <dxf>
      <numFmt numFmtId="14" formatCode="0.00%"/>
    </dxf>
    <dxf>
      <numFmt numFmtId="13" formatCode="0%"/>
    </dxf>
    <dxf>
      <numFmt numFmtId="13" formatCode="0%"/>
    </dxf>
    <dxf>
      <font>
        <sz val="14"/>
      </font>
    </dxf>
    <dxf>
      <font>
        <sz val="14"/>
      </font>
    </dxf>
    <dxf>
      <font>
        <b/>
      </font>
    </dxf>
    <dxf>
      <font>
        <b/>
      </font>
    </dxf>
    <dxf>
      <font>
        <b val="0"/>
        <i val="0"/>
        <strike val="0"/>
        <condense val="0"/>
        <extend val="0"/>
        <outline val="0"/>
        <shadow val="0"/>
        <u val="none"/>
        <vertAlign val="baseline"/>
        <sz val="11"/>
        <color rgb="FF000000"/>
        <name val="Arial"/>
        <family val="2"/>
        <scheme val="none"/>
      </font>
      <numFmt numFmtId="164" formatCode="#,##0.0"/>
      <alignment horizontal="right" vertical="bottom" textRotation="0" wrapText="0" indent="0" justifyLastLine="0" shrinkToFit="0" readingOrder="0"/>
    </dxf>
    <dxf>
      <numFmt numFmtId="0" formatCode="General"/>
    </dxf>
    <dxf>
      <font>
        <b/>
        <i val="0"/>
        <strike val="0"/>
        <condense val="0"/>
        <extend val="0"/>
        <outline val="0"/>
        <shadow val="0"/>
        <u val="none"/>
        <vertAlign val="baseline"/>
        <sz val="14"/>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73" formatCode="_-* #,##0.0_-;\-* #,##0.0_-;_-* &quot;-&quot;??_-;_-@_-"/>
      <border diagonalUp="0" diagonalDown="0">
        <left style="thin">
          <color indexed="64"/>
        </left>
        <right style="thin">
          <color indexed="64"/>
        </right>
        <top style="thin">
          <color indexed="64"/>
        </top>
        <bottom style="thin">
          <color indexed="64"/>
        </bottom>
        <vertical/>
        <horizontal/>
      </border>
    </dxf>
    <dxf>
      <numFmt numFmtId="14" formatCode="0.00%"/>
    </dxf>
    <dxf>
      <numFmt numFmtId="3" formatCode="#,##0"/>
    </dxf>
    <dxf>
      <numFmt numFmtId="14" formatCode="0.00%"/>
    </dxf>
    <dxf>
      <font>
        <b val="0"/>
        <i val="0"/>
        <strike val="0"/>
        <condense val="0"/>
        <extend val="0"/>
        <outline val="0"/>
        <shadow val="0"/>
        <u val="none"/>
        <vertAlign val="baseline"/>
        <sz val="11"/>
        <color rgb="FF00000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73" formatCode="_-* #,##0.0_-;\-* #,##0.0_-;_-* &quot;-&quot;??_-;_-@_-"/>
      <border diagonalUp="0" diagonalDown="0">
        <left style="thin">
          <color indexed="64"/>
        </left>
        <right style="thin">
          <color indexed="64"/>
        </right>
        <top style="thin">
          <color indexed="64"/>
        </top>
        <bottom style="thin">
          <color indexed="64"/>
        </bottom>
        <vertical/>
        <horizontal/>
      </border>
    </dxf>
    <dxf>
      <numFmt numFmtId="1" formatCode="0"/>
    </dxf>
    <dxf>
      <numFmt numFmtId="14" formatCode="0.00%"/>
    </dxf>
    <dxf>
      <numFmt numFmtId="3" formatCode="#,##0"/>
    </dxf>
    <dxf>
      <numFmt numFmtId="1" formatCode="0"/>
    </dxf>
    <dxf>
      <font>
        <b/>
        <i val="0"/>
        <strike val="0"/>
        <condense val="0"/>
        <extend val="0"/>
        <outline val="0"/>
        <shadow val="0"/>
        <u val="none"/>
        <vertAlign val="baseline"/>
        <sz val="14"/>
        <color rgb="FF000000"/>
        <name val="Calibri"/>
        <family val="2"/>
        <scheme val="minor"/>
      </font>
      <alignment horizontal="general" vertical="bottom" textRotation="0" wrapText="1" indent="0" justifyLastLine="0" shrinkToFit="0" readingOrder="0"/>
    </dxf>
    <dxf>
      <numFmt numFmtId="14" formatCode="0.00%"/>
    </dxf>
    <dxf>
      <numFmt numFmtId="4" formatCode="#,##0.00"/>
    </dxf>
    <dxf>
      <numFmt numFmtId="4"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[Energy_Consumption_Renewable_Energy_EV_Transition_Dashboard.xlsx.xlsx]Pivot_Tables!PivotTable4</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AU" sz="1800" b="1" i="0" u="none" strike="noStrike" baseline="0"/>
              <a:t>Australian Energy Consumption (2016–2024)</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c:f>
              <c:strCache>
                <c:ptCount val="1"/>
                <c:pt idx="0">
                  <c:v>Total</c:v>
                </c:pt>
              </c:strCache>
            </c:strRef>
          </c:tx>
          <c:spPr>
            <a:ln w="28575" cap="rnd">
              <a:solidFill>
                <a:schemeClr val="accent1"/>
              </a:solidFill>
              <a:round/>
            </a:ln>
            <a:effectLst/>
          </c:spPr>
          <c:marker>
            <c:symbol val="none"/>
          </c:marker>
          <c:cat>
            <c:strRef>
              <c:f>Pivot_Tables!$A$3:$A$12</c:f>
              <c:strCache>
                <c:ptCount val="9"/>
                <c:pt idx="0">
                  <c:v>2016</c:v>
                </c:pt>
                <c:pt idx="1">
                  <c:v>2017</c:v>
                </c:pt>
                <c:pt idx="2">
                  <c:v>2018</c:v>
                </c:pt>
                <c:pt idx="3">
                  <c:v>2019</c:v>
                </c:pt>
                <c:pt idx="4">
                  <c:v>2020</c:v>
                </c:pt>
                <c:pt idx="5">
                  <c:v>2021</c:v>
                </c:pt>
                <c:pt idx="6">
                  <c:v>2022</c:v>
                </c:pt>
                <c:pt idx="7">
                  <c:v>2023</c:v>
                </c:pt>
                <c:pt idx="8">
                  <c:v>2024</c:v>
                </c:pt>
              </c:strCache>
            </c:strRef>
          </c:cat>
          <c:val>
            <c:numRef>
              <c:f>Pivot_Tables!$B$3:$B$12</c:f>
              <c:numCache>
                <c:formatCode>0.00</c:formatCode>
                <c:ptCount val="9"/>
                <c:pt idx="0">
                  <c:v>6035.2039999999997</c:v>
                </c:pt>
                <c:pt idx="1">
                  <c:v>6105.0039999999999</c:v>
                </c:pt>
                <c:pt idx="2">
                  <c:v>6168.5339999999997</c:v>
                </c:pt>
                <c:pt idx="3">
                  <c:v>6199.1970000000001</c:v>
                </c:pt>
                <c:pt idx="4">
                  <c:v>6032.6379999999999</c:v>
                </c:pt>
                <c:pt idx="5">
                  <c:v>5784.6840000000002</c:v>
                </c:pt>
                <c:pt idx="6">
                  <c:v>5830.4780000000001</c:v>
                </c:pt>
                <c:pt idx="7">
                  <c:v>5949.7269999999999</c:v>
                </c:pt>
                <c:pt idx="8">
                  <c:v>5976.6559999999999</c:v>
                </c:pt>
              </c:numCache>
            </c:numRef>
          </c:val>
          <c:smooth val="0"/>
          <c:extLst>
            <c:ext xmlns:c16="http://schemas.microsoft.com/office/drawing/2014/chart" uri="{C3380CC4-5D6E-409C-BE32-E72D297353CC}">
              <c16:uniqueId val="{00000000-0A24-7A40-BD7A-A6040A678C0D}"/>
            </c:ext>
          </c:extLst>
        </c:ser>
        <c:dLbls>
          <c:showLegendKey val="0"/>
          <c:showVal val="0"/>
          <c:showCatName val="0"/>
          <c:showSerName val="0"/>
          <c:showPercent val="0"/>
          <c:showBubbleSize val="0"/>
        </c:dLbls>
        <c:smooth val="0"/>
        <c:axId val="2132081551"/>
        <c:axId val="2132083263"/>
      </c:lineChart>
      <c:catAx>
        <c:axId val="213208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83263"/>
        <c:crosses val="autoZero"/>
        <c:auto val="1"/>
        <c:lblAlgn val="ctr"/>
        <c:lblOffset val="100"/>
        <c:noMultiLvlLbl val="0"/>
      </c:catAx>
      <c:valAx>
        <c:axId val="2132083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8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[Energy_Consumption_Renewable_Energy_EV_Transition_Dashboard.xlsx.xlsx]Pivot_Tables!PivotTable5</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AU" sz="1800" b="1" i="0" u="none" strike="noStrike" baseline="0"/>
              <a:t>Renewable Energy Share Growth</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Pivot_Tables!$B$16</c:f>
              <c:strCache>
                <c:ptCount val="1"/>
                <c:pt idx="0">
                  <c:v>Total</c:v>
                </c:pt>
              </c:strCache>
            </c:strRef>
          </c:tx>
          <c:spPr>
            <a:ln w="28575" cap="rnd">
              <a:solidFill>
                <a:schemeClr val="accent1"/>
              </a:solidFill>
              <a:round/>
            </a:ln>
            <a:effectLst/>
          </c:spPr>
          <c:marker>
            <c:symbol val="none"/>
          </c:marker>
          <c:cat>
            <c:strRef>
              <c:f>Pivot_Tables!$A$17:$A$26</c:f>
              <c:strCache>
                <c:ptCount val="9"/>
                <c:pt idx="0">
                  <c:v>2016</c:v>
                </c:pt>
                <c:pt idx="1">
                  <c:v>2017</c:v>
                </c:pt>
                <c:pt idx="2">
                  <c:v>2018</c:v>
                </c:pt>
                <c:pt idx="3">
                  <c:v>2019</c:v>
                </c:pt>
                <c:pt idx="4">
                  <c:v>2020</c:v>
                </c:pt>
                <c:pt idx="5">
                  <c:v>2021</c:v>
                </c:pt>
                <c:pt idx="6">
                  <c:v>2022</c:v>
                </c:pt>
                <c:pt idx="7">
                  <c:v>2023</c:v>
                </c:pt>
                <c:pt idx="8">
                  <c:v>2024</c:v>
                </c:pt>
              </c:strCache>
            </c:strRef>
          </c:cat>
          <c:val>
            <c:numRef>
              <c:f>Pivot_Tables!$B$17:$B$26</c:f>
              <c:numCache>
                <c:formatCode>0%</c:formatCode>
                <c:ptCount val="9"/>
                <c:pt idx="0">
                  <c:v>0.14818089365361889</c:v>
                </c:pt>
                <c:pt idx="1">
                  <c:v>0.15679044404050896</c:v>
                </c:pt>
                <c:pt idx="2">
                  <c:v>0.17100845373848764</c:v>
                </c:pt>
                <c:pt idx="3">
                  <c:v>0.19703916308464256</c:v>
                </c:pt>
                <c:pt idx="4">
                  <c:v>0.22600010106411461</c:v>
                </c:pt>
                <c:pt idx="5">
                  <c:v>0.26660516014603403</c:v>
                </c:pt>
                <c:pt idx="6">
                  <c:v>0.30934005471186415</c:v>
                </c:pt>
              </c:numCache>
            </c:numRef>
          </c:val>
          <c:smooth val="0"/>
          <c:extLst>
            <c:ext xmlns:c16="http://schemas.microsoft.com/office/drawing/2014/chart" uri="{C3380CC4-5D6E-409C-BE32-E72D297353CC}">
              <c16:uniqueId val="{00000000-48A0-F749-B4E6-0A5778A7FA9A}"/>
            </c:ext>
          </c:extLst>
        </c:ser>
        <c:dLbls>
          <c:showLegendKey val="0"/>
          <c:showVal val="0"/>
          <c:showCatName val="0"/>
          <c:showSerName val="0"/>
          <c:showPercent val="0"/>
          <c:showBubbleSize val="0"/>
        </c:dLbls>
        <c:smooth val="0"/>
        <c:axId val="130906672"/>
        <c:axId val="528808687"/>
      </c:lineChart>
      <c:catAx>
        <c:axId val="13090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08687"/>
        <c:crosses val="autoZero"/>
        <c:auto val="1"/>
        <c:lblAlgn val="ctr"/>
        <c:lblOffset val="100"/>
        <c:noMultiLvlLbl val="0"/>
      </c:catAx>
      <c:valAx>
        <c:axId val="528808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[Energy_Consumption_Renewable_Energy_EV_Transition_Dashboard.xlsx.xlsx]Pivot_Tables!PivotTable6</c:name>
    <c:fmtId val="6"/>
  </c:pivotSource>
  <c:chart>
    <c:title>
      <c:tx>
        <c:rich>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r>
              <a:rPr lang="en-AU"/>
              <a:t>EV Adoption Trend</a:t>
            </a:r>
            <a:endParaRPr lang="en-GB"/>
          </a:p>
        </c:rich>
      </c:tx>
      <c:overlay val="0"/>
      <c:spPr>
        <a:noFill/>
        <a:ln>
          <a:noFill/>
        </a:ln>
        <a:effectLst/>
      </c:spPr>
      <c:txPr>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0012475904415"/>
          <c:y val="9.0591514367392809E-2"/>
          <c:w val="0.83107752009401237"/>
          <c:h val="0.7986272777585689"/>
        </c:manualLayout>
      </c:layout>
      <c:lineChart>
        <c:grouping val="standard"/>
        <c:varyColors val="0"/>
        <c:ser>
          <c:idx val="0"/>
          <c:order val="0"/>
          <c:tx>
            <c:strRef>
              <c:f>Pivot_Tables!$F$2</c:f>
              <c:strCache>
                <c:ptCount val="1"/>
                <c:pt idx="0">
                  <c:v>Total</c:v>
                </c:pt>
              </c:strCache>
            </c:strRef>
          </c:tx>
          <c:spPr>
            <a:ln w="28575" cap="rnd">
              <a:solidFill>
                <a:schemeClr val="accent1"/>
              </a:solidFill>
              <a:round/>
            </a:ln>
            <a:effectLst/>
          </c:spPr>
          <c:marker>
            <c:symbol val="none"/>
          </c:marker>
          <c:cat>
            <c:strRef>
              <c:f>Pivot_Tables!$E$3:$E$12</c:f>
              <c:strCache>
                <c:ptCount val="9"/>
                <c:pt idx="0">
                  <c:v>2016</c:v>
                </c:pt>
                <c:pt idx="1">
                  <c:v>2017</c:v>
                </c:pt>
                <c:pt idx="2">
                  <c:v>2018</c:v>
                </c:pt>
                <c:pt idx="3">
                  <c:v>2019</c:v>
                </c:pt>
                <c:pt idx="4">
                  <c:v>2020</c:v>
                </c:pt>
                <c:pt idx="5">
                  <c:v>2021</c:v>
                </c:pt>
                <c:pt idx="6">
                  <c:v>2022</c:v>
                </c:pt>
                <c:pt idx="7">
                  <c:v>2023</c:v>
                </c:pt>
                <c:pt idx="8">
                  <c:v>2024</c:v>
                </c:pt>
              </c:strCache>
            </c:strRef>
          </c:cat>
          <c:val>
            <c:numRef>
              <c:f>Pivot_Tables!$F$3:$F$12</c:f>
              <c:numCache>
                <c:formatCode>#,##0</c:formatCode>
                <c:ptCount val="9"/>
                <c:pt idx="0">
                  <c:v>1369</c:v>
                </c:pt>
                <c:pt idx="1">
                  <c:v>2284</c:v>
                </c:pt>
                <c:pt idx="2">
                  <c:v>2216</c:v>
                </c:pt>
                <c:pt idx="3">
                  <c:v>6718</c:v>
                </c:pt>
                <c:pt idx="4">
                  <c:v>6900</c:v>
                </c:pt>
                <c:pt idx="5">
                  <c:v>20665</c:v>
                </c:pt>
                <c:pt idx="6">
                  <c:v>39353</c:v>
                </c:pt>
                <c:pt idx="7">
                  <c:v>98436</c:v>
                </c:pt>
                <c:pt idx="8">
                  <c:v>85319</c:v>
                </c:pt>
              </c:numCache>
            </c:numRef>
          </c:val>
          <c:smooth val="0"/>
          <c:extLst>
            <c:ext xmlns:c16="http://schemas.microsoft.com/office/drawing/2014/chart" uri="{C3380CC4-5D6E-409C-BE32-E72D297353CC}">
              <c16:uniqueId val="{00000000-621C-8242-B391-FE1E7B21C514}"/>
            </c:ext>
          </c:extLst>
        </c:ser>
        <c:dLbls>
          <c:showLegendKey val="0"/>
          <c:showVal val="0"/>
          <c:showCatName val="0"/>
          <c:showSerName val="0"/>
          <c:showPercent val="0"/>
          <c:showBubbleSize val="0"/>
        </c:dLbls>
        <c:smooth val="0"/>
        <c:axId val="74474432"/>
        <c:axId val="75433200"/>
      </c:lineChart>
      <c:catAx>
        <c:axId val="7447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75433200"/>
        <c:crosses val="autoZero"/>
        <c:auto val="1"/>
        <c:lblAlgn val="ctr"/>
        <c:lblOffset val="100"/>
        <c:noMultiLvlLbl val="0"/>
      </c:catAx>
      <c:valAx>
        <c:axId val="75433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7447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[Energy_Consumption_Renewable_Energy_EV_Transition_Dashboard.xlsx.xlsx]Pivot_Tables!PivotTable7</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AU" sz="1800" b="1" i="0" u="none" strike="noStrike" baseline="0"/>
              <a:t>National Emissions Trend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Pivot_Tables!$F$16</c:f>
              <c:strCache>
                <c:ptCount val="1"/>
                <c:pt idx="0">
                  <c:v>Total</c:v>
                </c:pt>
              </c:strCache>
            </c:strRef>
          </c:tx>
          <c:spPr>
            <a:ln w="28575" cap="rnd">
              <a:solidFill>
                <a:schemeClr val="accent1"/>
              </a:solidFill>
              <a:round/>
            </a:ln>
            <a:effectLst/>
          </c:spPr>
          <c:marker>
            <c:symbol val="none"/>
          </c:marker>
          <c:cat>
            <c:strRef>
              <c:f>Pivot_Tables!$E$17:$E$26</c:f>
              <c:strCache>
                <c:ptCount val="9"/>
                <c:pt idx="0">
                  <c:v>2016</c:v>
                </c:pt>
                <c:pt idx="1">
                  <c:v>2017</c:v>
                </c:pt>
                <c:pt idx="2">
                  <c:v>2018</c:v>
                </c:pt>
                <c:pt idx="3">
                  <c:v>2019</c:v>
                </c:pt>
                <c:pt idx="4">
                  <c:v>2020</c:v>
                </c:pt>
                <c:pt idx="5">
                  <c:v>2021</c:v>
                </c:pt>
                <c:pt idx="6">
                  <c:v>2022</c:v>
                </c:pt>
                <c:pt idx="7">
                  <c:v>2023</c:v>
                </c:pt>
                <c:pt idx="8">
                  <c:v>2024</c:v>
                </c:pt>
              </c:strCache>
            </c:strRef>
          </c:cat>
          <c:val>
            <c:numRef>
              <c:f>Pivot_Tables!$F$17:$F$26</c:f>
              <c:numCache>
                <c:formatCode>0.00</c:formatCode>
                <c:ptCount val="9"/>
                <c:pt idx="0">
                  <c:v>134.06191837653</c:v>
                </c:pt>
                <c:pt idx="1">
                  <c:v>127.03858145636282</c:v>
                </c:pt>
                <c:pt idx="2">
                  <c:v>124.59188630341023</c:v>
                </c:pt>
                <c:pt idx="3">
                  <c:v>121.30648474151273</c:v>
                </c:pt>
                <c:pt idx="4">
                  <c:v>109.76550603377987</c:v>
                </c:pt>
                <c:pt idx="5">
                  <c:v>110.80439059484888</c:v>
                </c:pt>
                <c:pt idx="6">
                  <c:v>113.14783820076579</c:v>
                </c:pt>
                <c:pt idx="7">
                  <c:v>111.28431723715053</c:v>
                </c:pt>
                <c:pt idx="8">
                  <c:v>109.97302892106363</c:v>
                </c:pt>
              </c:numCache>
            </c:numRef>
          </c:val>
          <c:smooth val="0"/>
          <c:extLst>
            <c:ext xmlns:c16="http://schemas.microsoft.com/office/drawing/2014/chart" uri="{C3380CC4-5D6E-409C-BE32-E72D297353CC}">
              <c16:uniqueId val="{00000000-F7B3-364B-8216-FDF260952C5E}"/>
            </c:ext>
          </c:extLst>
        </c:ser>
        <c:dLbls>
          <c:showLegendKey val="0"/>
          <c:showVal val="0"/>
          <c:showCatName val="0"/>
          <c:showSerName val="0"/>
          <c:showPercent val="0"/>
          <c:showBubbleSize val="0"/>
        </c:dLbls>
        <c:smooth val="0"/>
        <c:axId val="75387168"/>
        <c:axId val="75013936"/>
      </c:lineChart>
      <c:catAx>
        <c:axId val="7538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3936"/>
        <c:crosses val="autoZero"/>
        <c:auto val="1"/>
        <c:lblAlgn val="ctr"/>
        <c:lblOffset val="100"/>
        <c:noMultiLvlLbl val="0"/>
      </c:catAx>
      <c:valAx>
        <c:axId val="75013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AU" sz="1800" b="1" i="0" u="none" strike="noStrike" baseline="0"/>
              <a:t>Renewable Energy vs EV Adoption</a:t>
            </a:r>
            <a:endParaRPr lang="en-GB"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822845733703558E-2"/>
          <c:y val="1.0797832906853804E-2"/>
          <c:w val="0.95317715426629646"/>
          <c:h val="0.82685060186965442"/>
        </c:manualLayout>
      </c:layout>
      <c:lineChart>
        <c:grouping val="standard"/>
        <c:varyColors val="0"/>
        <c:ser>
          <c:idx val="1"/>
          <c:order val="0"/>
          <c:tx>
            <c:v>EV Market Share % </c:v>
          </c:tx>
          <c:spPr>
            <a:ln w="28575" cap="rnd">
              <a:solidFill>
                <a:schemeClr val="accent2"/>
              </a:solidFill>
              <a:round/>
            </a:ln>
            <a:effectLst/>
          </c:spPr>
          <c:marker>
            <c:symbol val="none"/>
          </c:marker>
          <c:cat>
            <c:strLit>
              <c:ptCount val="9"/>
              <c:pt idx="0">
                <c:v>2016</c:v>
              </c:pt>
              <c:pt idx="1">
                <c:v>2017</c:v>
              </c:pt>
              <c:pt idx="2">
                <c:v>2018</c:v>
              </c:pt>
              <c:pt idx="3">
                <c:v>2019</c:v>
              </c:pt>
              <c:pt idx="4">
                <c:v>2020</c:v>
              </c:pt>
              <c:pt idx="5">
                <c:v>2021</c:v>
              </c:pt>
              <c:pt idx="6">
                <c:v>2022</c:v>
              </c:pt>
              <c:pt idx="7">
                <c:v>2023</c:v>
              </c:pt>
              <c:pt idx="8">
                <c:v>2024</c:v>
              </c:pt>
            </c:strLit>
          </c:cat>
          <c:val>
            <c:numLit>
              <c:formatCode>General</c:formatCode>
              <c:ptCount val="9"/>
              <c:pt idx="0">
                <c:v>1.1999999999999999E-3</c:v>
              </c:pt>
              <c:pt idx="1">
                <c:v>1.9E-3</c:v>
              </c:pt>
              <c:pt idx="2">
                <c:v>2.0999999999999999E-3</c:v>
              </c:pt>
              <c:pt idx="3">
                <c:v>6.4999999999999997E-3</c:v>
              </c:pt>
              <c:pt idx="4">
                <c:v>7.7999999999999996E-3</c:v>
              </c:pt>
              <c:pt idx="5">
                <c:v>1.95E-2</c:v>
              </c:pt>
              <c:pt idx="6">
                <c:v>3.8100000000000002E-2</c:v>
              </c:pt>
              <c:pt idx="7">
                <c:v>8.4500000000000006E-2</c:v>
              </c:pt>
              <c:pt idx="8">
                <c:v>9.5299999999999996E-2</c:v>
              </c:pt>
            </c:numLit>
          </c:val>
          <c:smooth val="0"/>
          <c:extLst>
            <c:ext xmlns:c16="http://schemas.microsoft.com/office/drawing/2014/chart" uri="{C3380CC4-5D6E-409C-BE32-E72D297353CC}">
              <c16:uniqueId val="{00000001-277F-184D-9BCC-8CC4D28E2098}"/>
            </c:ext>
          </c:extLst>
        </c:ser>
        <c:ser>
          <c:idx val="0"/>
          <c:order val="1"/>
          <c:tx>
            <c:v>Renewable Share % </c:v>
          </c:tx>
          <c:spPr>
            <a:ln w="28575" cap="flat">
              <a:solidFill>
                <a:schemeClr val="accent1"/>
              </a:solidFill>
              <a:miter lim="800000"/>
            </a:ln>
            <a:effectLst/>
          </c:spPr>
          <c:marker>
            <c:symbol val="none"/>
          </c:marker>
          <c:cat>
            <c:strLit>
              <c:ptCount val="9"/>
              <c:pt idx="0">
                <c:v>2016</c:v>
              </c:pt>
              <c:pt idx="1">
                <c:v>2017</c:v>
              </c:pt>
              <c:pt idx="2">
                <c:v>2018</c:v>
              </c:pt>
              <c:pt idx="3">
                <c:v>2019</c:v>
              </c:pt>
              <c:pt idx="4">
                <c:v>2020</c:v>
              </c:pt>
              <c:pt idx="5">
                <c:v>2021</c:v>
              </c:pt>
              <c:pt idx="6">
                <c:v>2022</c:v>
              </c:pt>
              <c:pt idx="7">
                <c:v>2023</c:v>
              </c:pt>
              <c:pt idx="8">
                <c:v>2024</c:v>
              </c:pt>
            </c:strLit>
          </c:cat>
          <c:val>
            <c:numLit>
              <c:formatCode>General</c:formatCode>
              <c:ptCount val="9"/>
              <c:pt idx="0">
                <c:v>0.14818089365361889</c:v>
              </c:pt>
              <c:pt idx="1">
                <c:v>0.15679044404050896</c:v>
              </c:pt>
              <c:pt idx="2">
                <c:v>0.17100845373848764</c:v>
              </c:pt>
              <c:pt idx="3">
                <c:v>0.19703916308464256</c:v>
              </c:pt>
              <c:pt idx="4">
                <c:v>0.22600010106411461</c:v>
              </c:pt>
              <c:pt idx="5">
                <c:v>0.26660516014603403</c:v>
              </c:pt>
              <c:pt idx="6">
                <c:v>0.30934005471186415</c:v>
              </c:pt>
              <c:pt idx="7">
                <c:v>0</c:v>
              </c:pt>
              <c:pt idx="8">
                <c:v>0</c:v>
              </c:pt>
            </c:numLit>
          </c:val>
          <c:smooth val="0"/>
          <c:extLst>
            <c:ext xmlns:c16="http://schemas.microsoft.com/office/drawing/2014/chart" uri="{C3380CC4-5D6E-409C-BE32-E72D297353CC}">
              <c16:uniqueId val="{00000000-277F-184D-9BCC-8CC4D28E2098}"/>
            </c:ext>
          </c:extLst>
        </c:ser>
        <c:dLbls>
          <c:showLegendKey val="0"/>
          <c:showVal val="0"/>
          <c:showCatName val="0"/>
          <c:showSerName val="0"/>
          <c:showPercent val="0"/>
          <c:showBubbleSize val="0"/>
        </c:dLbls>
        <c:smooth val="0"/>
        <c:axId val="266566064"/>
        <c:axId val="267018992"/>
      </c:lineChart>
      <c:catAx>
        <c:axId val="26656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18992"/>
        <c:crosses val="autoZero"/>
        <c:auto val="1"/>
        <c:lblAlgn val="ctr"/>
        <c:lblOffset val="100"/>
        <c:noMultiLvlLbl val="0"/>
      </c:catAx>
      <c:valAx>
        <c:axId val="2670189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66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AU" sz="1800" b="1" i="0" u="none" strike="noStrike" baseline="0"/>
              <a:t>EV adoption and emissions trend</a:t>
            </a:r>
            <a:endParaRPr lang="en-GB"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v>Emissions  </c:v>
          </c:tx>
          <c:spPr>
            <a:ln w="28575" cap="rnd">
              <a:solidFill>
                <a:schemeClr val="accent2"/>
              </a:solidFill>
              <a:round/>
            </a:ln>
            <a:effectLst/>
          </c:spPr>
          <c:marker>
            <c:symbol val="none"/>
          </c:marker>
          <c:cat>
            <c:strLit>
              <c:ptCount val="9"/>
              <c:pt idx="0">
                <c:v>2016</c:v>
              </c:pt>
              <c:pt idx="1">
                <c:v>2017</c:v>
              </c:pt>
              <c:pt idx="2">
                <c:v>2018</c:v>
              </c:pt>
              <c:pt idx="3">
                <c:v>2019</c:v>
              </c:pt>
              <c:pt idx="4">
                <c:v>2020</c:v>
              </c:pt>
              <c:pt idx="5">
                <c:v>2021</c:v>
              </c:pt>
              <c:pt idx="6">
                <c:v>2022</c:v>
              </c:pt>
              <c:pt idx="7">
                <c:v>2023</c:v>
              </c:pt>
              <c:pt idx="8">
                <c:v>2024</c:v>
              </c:pt>
            </c:strLit>
          </c:cat>
          <c:val>
            <c:numLit>
              <c:formatCode>General</c:formatCode>
              <c:ptCount val="9"/>
              <c:pt idx="0">
                <c:v>134.06191837653</c:v>
              </c:pt>
              <c:pt idx="1">
                <c:v>127.03858145636282</c:v>
              </c:pt>
              <c:pt idx="2">
                <c:v>124.59188630341023</c:v>
              </c:pt>
              <c:pt idx="3">
                <c:v>121.30648474151273</c:v>
              </c:pt>
              <c:pt idx="4">
                <c:v>109.76550603377987</c:v>
              </c:pt>
              <c:pt idx="5">
                <c:v>110.80439059484888</c:v>
              </c:pt>
              <c:pt idx="6">
                <c:v>113.14783820076579</c:v>
              </c:pt>
              <c:pt idx="7">
                <c:v>111.28431723715053</c:v>
              </c:pt>
              <c:pt idx="8">
                <c:v>109.97302892106363</c:v>
              </c:pt>
            </c:numLit>
          </c:val>
          <c:smooth val="0"/>
          <c:extLst>
            <c:ext xmlns:c16="http://schemas.microsoft.com/office/drawing/2014/chart" uri="{C3380CC4-5D6E-409C-BE32-E72D297353CC}">
              <c16:uniqueId val="{00000000-CA9D-BA48-8E9D-BB415E8B4C8F}"/>
            </c:ext>
          </c:extLst>
        </c:ser>
        <c:dLbls>
          <c:showLegendKey val="0"/>
          <c:showVal val="0"/>
          <c:showCatName val="0"/>
          <c:showSerName val="0"/>
          <c:showPercent val="0"/>
          <c:showBubbleSize val="0"/>
        </c:dLbls>
        <c:marker val="1"/>
        <c:smooth val="0"/>
        <c:axId val="1850729439"/>
        <c:axId val="368034672"/>
      </c:lineChart>
      <c:lineChart>
        <c:grouping val="standard"/>
        <c:varyColors val="0"/>
        <c:ser>
          <c:idx val="0"/>
          <c:order val="0"/>
          <c:tx>
            <c:v>EV Market Share % </c:v>
          </c:tx>
          <c:spPr>
            <a:ln w="28575" cap="rnd">
              <a:solidFill>
                <a:schemeClr val="accent1"/>
              </a:solidFill>
              <a:round/>
            </a:ln>
            <a:effectLst/>
          </c:spPr>
          <c:marker>
            <c:symbol val="none"/>
          </c:marker>
          <c:cat>
            <c:strLit>
              <c:ptCount val="9"/>
              <c:pt idx="0">
                <c:v>2016</c:v>
              </c:pt>
              <c:pt idx="1">
                <c:v>2017</c:v>
              </c:pt>
              <c:pt idx="2">
                <c:v>2018</c:v>
              </c:pt>
              <c:pt idx="3">
                <c:v>2019</c:v>
              </c:pt>
              <c:pt idx="4">
                <c:v>2020</c:v>
              </c:pt>
              <c:pt idx="5">
                <c:v>2021</c:v>
              </c:pt>
              <c:pt idx="6">
                <c:v>2022</c:v>
              </c:pt>
              <c:pt idx="7">
                <c:v>2023</c:v>
              </c:pt>
              <c:pt idx="8">
                <c:v>2024</c:v>
              </c:pt>
            </c:strLit>
          </c:cat>
          <c:val>
            <c:numLit>
              <c:formatCode>General</c:formatCode>
              <c:ptCount val="9"/>
              <c:pt idx="0">
                <c:v>1.1999999999999999E-3</c:v>
              </c:pt>
              <c:pt idx="1">
                <c:v>1.9E-3</c:v>
              </c:pt>
              <c:pt idx="2">
                <c:v>2.0999999999999999E-3</c:v>
              </c:pt>
              <c:pt idx="3">
                <c:v>6.4999999999999997E-3</c:v>
              </c:pt>
              <c:pt idx="4">
                <c:v>7.7999999999999996E-3</c:v>
              </c:pt>
              <c:pt idx="5">
                <c:v>1.95E-2</c:v>
              </c:pt>
              <c:pt idx="6">
                <c:v>3.8100000000000002E-2</c:v>
              </c:pt>
              <c:pt idx="7">
                <c:v>8.4500000000000006E-2</c:v>
              </c:pt>
              <c:pt idx="8">
                <c:v>9.5299999999999996E-2</c:v>
              </c:pt>
            </c:numLit>
          </c:val>
          <c:smooth val="0"/>
          <c:extLst>
            <c:ext xmlns:c16="http://schemas.microsoft.com/office/drawing/2014/chart" uri="{C3380CC4-5D6E-409C-BE32-E72D297353CC}">
              <c16:uniqueId val="{00000001-CA9D-BA48-8E9D-BB415E8B4C8F}"/>
            </c:ext>
          </c:extLst>
        </c:ser>
        <c:dLbls>
          <c:showLegendKey val="0"/>
          <c:showVal val="0"/>
          <c:showCatName val="0"/>
          <c:showSerName val="0"/>
          <c:showPercent val="0"/>
          <c:showBubbleSize val="0"/>
        </c:dLbls>
        <c:marker val="1"/>
        <c:smooth val="0"/>
        <c:axId val="909860112"/>
        <c:axId val="909594176"/>
      </c:lineChart>
      <c:catAx>
        <c:axId val="18507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34672"/>
        <c:crosses val="autoZero"/>
        <c:auto val="1"/>
        <c:lblAlgn val="ctr"/>
        <c:lblOffset val="100"/>
        <c:noMultiLvlLbl val="0"/>
      </c:catAx>
      <c:valAx>
        <c:axId val="368034672"/>
        <c:scaling>
          <c:orientation val="minMax"/>
          <c:max val="16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Emissions (Mt CO₂-e)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729439"/>
        <c:crosses val="autoZero"/>
        <c:crossBetween val="between"/>
      </c:valAx>
      <c:valAx>
        <c:axId val="909594176"/>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EV Market Share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60112"/>
        <c:crosses val="max"/>
        <c:crossBetween val="between"/>
      </c:valAx>
      <c:catAx>
        <c:axId val="909860112"/>
        <c:scaling>
          <c:orientation val="minMax"/>
        </c:scaling>
        <c:delete val="1"/>
        <c:axPos val="b"/>
        <c:numFmt formatCode="General" sourceLinked="1"/>
        <c:majorTickMark val="out"/>
        <c:minorTickMark val="none"/>
        <c:tickLblPos val="nextTo"/>
        <c:crossAx val="9095941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561219</xdr:colOff>
      <xdr:row>0</xdr:row>
      <xdr:rowOff>1295238</xdr:rowOff>
    </xdr:to>
    <xdr:pic>
      <xdr:nvPicPr>
        <xdr:cNvPr id="2" name="DepartmentCrest">
          <a:extLst>
            <a:ext uri="{FF2B5EF4-FFF2-40B4-BE49-F238E27FC236}">
              <a16:creationId xmlns:a16="http://schemas.microsoft.com/office/drawing/2014/main" id="{3B698644-D78E-450F-9098-3959CBF76B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47619" cy="12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105832</xdr:colOff>
      <xdr:row>7</xdr:row>
      <xdr:rowOff>84664</xdr:rowOff>
    </xdr:from>
    <xdr:to>
      <xdr:col>11</xdr:col>
      <xdr:colOff>0</xdr:colOff>
      <xdr:row>34</xdr:row>
      <xdr:rowOff>143386</xdr:rowOff>
    </xdr:to>
    <xdr:graphicFrame macro="">
      <xdr:nvGraphicFramePr>
        <xdr:cNvPr id="2" name="Chart 1">
          <a:extLst>
            <a:ext uri="{FF2B5EF4-FFF2-40B4-BE49-F238E27FC236}">
              <a16:creationId xmlns:a16="http://schemas.microsoft.com/office/drawing/2014/main" id="{882F78A6-2D22-984D-A83D-A5FC93ABC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25025</xdr:colOff>
      <xdr:row>38</xdr:row>
      <xdr:rowOff>33287</xdr:rowOff>
    </xdr:from>
    <xdr:to>
      <xdr:col>25</xdr:col>
      <xdr:colOff>40968</xdr:colOff>
      <xdr:row>65</xdr:row>
      <xdr:rowOff>174785</xdr:rowOff>
    </xdr:to>
    <xdr:graphicFrame macro="">
      <xdr:nvGraphicFramePr>
        <xdr:cNvPr id="3" name="Chart 2">
          <a:extLst>
            <a:ext uri="{FF2B5EF4-FFF2-40B4-BE49-F238E27FC236}">
              <a16:creationId xmlns:a16="http://schemas.microsoft.com/office/drawing/2014/main" id="{373FAE22-FD6C-E64B-A96F-BD3B5AD59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798871</xdr:colOff>
      <xdr:row>7</xdr:row>
      <xdr:rowOff>122904</xdr:rowOff>
    </xdr:from>
    <xdr:to>
      <xdr:col>24</xdr:col>
      <xdr:colOff>778387</xdr:colOff>
      <xdr:row>34</xdr:row>
      <xdr:rowOff>102419</xdr:rowOff>
    </xdr:to>
    <xdr:graphicFrame macro="">
      <xdr:nvGraphicFramePr>
        <xdr:cNvPr id="4" name="Chart 3">
          <a:extLst>
            <a:ext uri="{FF2B5EF4-FFF2-40B4-BE49-F238E27FC236}">
              <a16:creationId xmlns:a16="http://schemas.microsoft.com/office/drawing/2014/main" id="{FD00A560-BB25-924B-A824-367FB9088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37</xdr:row>
      <xdr:rowOff>142550</xdr:rowOff>
    </xdr:from>
    <xdr:to>
      <xdr:col>11</xdr:col>
      <xdr:colOff>81936</xdr:colOff>
      <xdr:row>65</xdr:row>
      <xdr:rowOff>99692</xdr:rowOff>
    </xdr:to>
    <xdr:graphicFrame macro="">
      <xdr:nvGraphicFramePr>
        <xdr:cNvPr id="5" name="Chart 4">
          <a:extLst>
            <a:ext uri="{FF2B5EF4-FFF2-40B4-BE49-F238E27FC236}">
              <a16:creationId xmlns:a16="http://schemas.microsoft.com/office/drawing/2014/main" id="{91D14E9C-0E2C-B746-9D45-4C4FE3DD3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81936</xdr:colOff>
      <xdr:row>68</xdr:row>
      <xdr:rowOff>143388</xdr:rowOff>
    </xdr:from>
    <xdr:to>
      <xdr:col>25</xdr:col>
      <xdr:colOff>204839</xdr:colOff>
      <xdr:row>101</xdr:row>
      <xdr:rowOff>143388</xdr:rowOff>
    </xdr:to>
    <xdr:graphicFrame macro="">
      <xdr:nvGraphicFramePr>
        <xdr:cNvPr id="6" name="Renewables vs EV Adoption">
          <a:extLst>
            <a:ext uri="{FF2B5EF4-FFF2-40B4-BE49-F238E27FC236}">
              <a16:creationId xmlns:a16="http://schemas.microsoft.com/office/drawing/2014/main" id="{D9E27D90-C5FF-6D46-9F45-B1743BC9C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583511</xdr:colOff>
      <xdr:row>122</xdr:row>
      <xdr:rowOff>68649</xdr:rowOff>
    </xdr:from>
    <xdr:to>
      <xdr:col>22</xdr:col>
      <xdr:colOff>34323</xdr:colOff>
      <xdr:row>139</xdr:row>
      <xdr:rowOff>51487</xdr:rowOff>
    </xdr:to>
    <xdr:sp macro="" textlink="">
      <xdr:nvSpPr>
        <xdr:cNvPr id="29697" name="Text Box 1">
          <a:extLst>
            <a:ext uri="{FF2B5EF4-FFF2-40B4-BE49-F238E27FC236}">
              <a16:creationId xmlns:a16="http://schemas.microsoft.com/office/drawing/2014/main" id="{A03AEB4C-D38E-7EB4-97B7-598D26A0D87E}"/>
            </a:ext>
          </a:extLst>
        </xdr:cNvPr>
        <xdr:cNvSpPr txBox="1">
          <a:spLocks noChangeArrowheads="1"/>
        </xdr:cNvSpPr>
      </xdr:nvSpPr>
      <xdr:spPr bwMode="auto">
        <a:xfrm flipH="1" flipV="1">
          <a:off x="583511" y="24301622"/>
          <a:ext cx="17574055" cy="3192162"/>
        </a:xfrm>
        <a:prstGeom prst="rect">
          <a:avLst/>
        </a:prstGeom>
        <a:solidFill>
          <a:schemeClr val="bg2"/>
        </a:solidFill>
        <a:ln w="9525">
          <a:solidFill>
            <a:srgbClr val="000000"/>
          </a:solidFill>
          <a:miter lim="800000"/>
          <a:headEnd/>
          <a:tailEnd/>
        </a:ln>
      </xdr:spPr>
      <xdr:txBody>
        <a:bodyPr vertOverflow="clip" wrap="square" lIns="27432" tIns="22860" rIns="0" bIns="0" anchor="ctr" upright="1"/>
        <a:lstStyle/>
        <a:p>
          <a:r>
            <a:rPr lang="en-AU" sz="2400" b="1" i="0" u="none" strike="noStrike">
              <a:effectLst/>
              <a:latin typeface="+mn-lt"/>
              <a:ea typeface="+mn-ea"/>
              <a:cs typeface="+mn-cs"/>
            </a:rPr>
            <a:t>Recommendations: </a:t>
          </a:r>
        </a:p>
        <a:p>
          <a:endParaRPr lang="en-AU" sz="2400" b="1" i="0" u="none" strike="noStrike">
            <a:effectLst/>
            <a:latin typeface="+mn-lt"/>
            <a:ea typeface="+mn-ea"/>
            <a:cs typeface="+mn-cs"/>
          </a:endParaRPr>
        </a:p>
        <a:p>
          <a:r>
            <a:rPr lang="en-AU" sz="2400" b="1" i="0" u="none" strike="noStrike">
              <a:effectLst/>
              <a:latin typeface="+mn-lt"/>
              <a:ea typeface="+mn-ea"/>
              <a:cs typeface="+mn-cs"/>
            </a:rPr>
            <a:t>1. Continue investment in renewable generation capacity to meet future electricity demand.</a:t>
          </a:r>
          <a:r>
            <a:rPr lang="en-AU" sz="2400" b="1">
              <a:effectLst/>
            </a:rPr>
            <a:t> </a:t>
          </a:r>
        </a:p>
        <a:p>
          <a:r>
            <a:rPr lang="en-AU" sz="2400" b="1" i="0" u="none" strike="noStrike">
              <a:effectLst/>
              <a:latin typeface="+mn-lt"/>
              <a:ea typeface="+mn-ea"/>
              <a:cs typeface="+mn-cs"/>
            </a:rPr>
            <a:t>2. Expand EV charging infrastructure to sustain adoption growth.</a:t>
          </a:r>
          <a:r>
            <a:rPr lang="en-AU" sz="2400" b="1">
              <a:effectLst/>
            </a:rPr>
            <a:t> </a:t>
          </a:r>
        </a:p>
        <a:p>
          <a:r>
            <a:rPr lang="en-AU" sz="2400" b="1" i="0" u="none" strike="noStrike">
              <a:effectLst/>
              <a:latin typeface="+mn-lt"/>
              <a:ea typeface="+mn-ea"/>
              <a:cs typeface="+mn-cs"/>
            </a:rPr>
            <a:t>3. Prioritise emissions-intensive sectors for targeted decarbonisation initiatives.</a:t>
          </a:r>
          <a:r>
            <a:rPr lang="en-AU" sz="2400" b="1">
              <a:effectLst/>
            </a:rPr>
            <a:t> </a:t>
          </a:r>
        </a:p>
        <a:p>
          <a:r>
            <a:rPr lang="en-AU" sz="2400" b="1" i="0" u="none" strike="noStrike">
              <a:effectLst/>
              <a:latin typeface="+mn-lt"/>
              <a:ea typeface="+mn-ea"/>
              <a:cs typeface="+mn-cs"/>
            </a:rPr>
            <a:t>4. Support grid modernisation and energy storage projects to improve renewable integration.</a:t>
          </a:r>
          <a:r>
            <a:rPr lang="en-AU" sz="2400" b="1">
              <a:effectLst/>
            </a:rPr>
            <a:t> </a:t>
          </a:r>
        </a:p>
        <a:p>
          <a:r>
            <a:rPr lang="en-AU" sz="2400" b="1" i="0" u="none" strike="noStrike">
              <a:effectLst/>
              <a:latin typeface="+mn-lt"/>
              <a:ea typeface="+mn-ea"/>
              <a:cs typeface="+mn-cs"/>
            </a:rPr>
            <a:t>5. Monitor renewable generation growth against energy demand to maintain emissions reductions.</a:t>
          </a:r>
          <a:r>
            <a:rPr lang="en-AU" sz="2400" b="1">
              <a:effectLst/>
            </a:rPr>
            <a:t> </a:t>
          </a:r>
        </a:p>
      </xdr:txBody>
    </xdr:sp>
    <xdr:clientData/>
  </xdr:twoCellAnchor>
  <xdr:twoCellAnchor>
    <xdr:from>
      <xdr:col>0</xdr:col>
      <xdr:colOff>0</xdr:colOff>
      <xdr:row>69</xdr:row>
      <xdr:rowOff>6911</xdr:rowOff>
    </xdr:from>
    <xdr:to>
      <xdr:col>11</xdr:col>
      <xdr:colOff>61452</xdr:colOff>
      <xdr:row>102</xdr:row>
      <xdr:rowOff>102418</xdr:rowOff>
    </xdr:to>
    <xdr:graphicFrame macro="">
      <xdr:nvGraphicFramePr>
        <xdr:cNvPr id="9" name="Chart 8">
          <a:extLst>
            <a:ext uri="{FF2B5EF4-FFF2-40B4-BE49-F238E27FC236}">
              <a16:creationId xmlns:a16="http://schemas.microsoft.com/office/drawing/2014/main" id="{DCAF03C5-711E-BC43-9413-248C55DE8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549189</xdr:colOff>
      <xdr:row>104</xdr:row>
      <xdr:rowOff>137297</xdr:rowOff>
    </xdr:from>
    <xdr:to>
      <xdr:col>22</xdr:col>
      <xdr:colOff>34325</xdr:colOff>
      <xdr:row>120</xdr:row>
      <xdr:rowOff>120136</xdr:rowOff>
    </xdr:to>
    <xdr:sp macro="" textlink="">
      <xdr:nvSpPr>
        <xdr:cNvPr id="13" name="TextBox 12">
          <a:extLst>
            <a:ext uri="{FF2B5EF4-FFF2-40B4-BE49-F238E27FC236}">
              <a16:creationId xmlns:a16="http://schemas.microsoft.com/office/drawing/2014/main" id="{29915D5F-C64F-038E-F9B2-753D50065203}"/>
            </a:ext>
          </a:extLst>
        </xdr:cNvPr>
        <xdr:cNvSpPr txBox="1"/>
      </xdr:nvSpPr>
      <xdr:spPr>
        <a:xfrm>
          <a:off x="549189" y="20972162"/>
          <a:ext cx="17608379" cy="3003379"/>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AU" sz="2400" b="1" i="0" u="none" strike="noStrike">
              <a:effectLst/>
              <a:latin typeface="+mn-lt"/>
              <a:ea typeface="+mn-ea"/>
              <a:cs typeface="+mn-cs"/>
            </a:rPr>
            <a:t>Key Findings :</a:t>
          </a:r>
        </a:p>
        <a:p>
          <a:pPr marL="0" indent="0" algn="l"/>
          <a:r>
            <a:rPr lang="en-AU" sz="2400" b="1" i="0" u="none" strike="noStrike">
              <a:solidFill>
                <a:schemeClr val="dk1"/>
              </a:solidFill>
              <a:effectLst/>
              <a:latin typeface="+mn-lt"/>
              <a:ea typeface="+mn-ea"/>
              <a:cs typeface="+mn-cs"/>
            </a:rPr>
            <a:t>1.</a:t>
          </a:r>
          <a:r>
            <a:rPr lang="en-AU" sz="2400" b="1" i="0" u="none" strike="noStrike" baseline="0">
              <a:solidFill>
                <a:schemeClr val="dk1"/>
              </a:solidFill>
              <a:effectLst/>
              <a:latin typeface="+mn-lt"/>
              <a:ea typeface="+mn-ea"/>
              <a:cs typeface="+mn-cs"/>
            </a:rPr>
            <a:t> </a:t>
          </a:r>
          <a:r>
            <a:rPr lang="en-AU" sz="2400" b="1" i="0" u="none" strike="noStrike">
              <a:solidFill>
                <a:schemeClr val="dk1"/>
              </a:solidFill>
              <a:effectLst/>
              <a:latin typeface="+mn-lt"/>
              <a:ea typeface="+mn-ea"/>
              <a:cs typeface="+mn-cs"/>
            </a:rPr>
            <a:t>Energy consumption remained relatively stable between 2016 and 2024. </a:t>
          </a:r>
        </a:p>
        <a:p>
          <a:pPr marL="0" indent="0" algn="l"/>
          <a:r>
            <a:rPr lang="en-AU" sz="2400" b="1" i="0" u="none" strike="noStrike">
              <a:solidFill>
                <a:schemeClr val="dk1"/>
              </a:solidFill>
              <a:effectLst/>
              <a:latin typeface="+mn-lt"/>
              <a:ea typeface="+mn-ea"/>
              <a:cs typeface="+mn-cs"/>
            </a:rPr>
            <a:t>2. Renewable energy share more than doubled from 15% in 2016 to 31% in 2022. </a:t>
          </a:r>
        </a:p>
        <a:p>
          <a:pPr marL="0" indent="0" algn="l"/>
          <a:r>
            <a:rPr lang="en-AU" sz="2400" b="1" i="0" u="none" strike="noStrike">
              <a:solidFill>
                <a:schemeClr val="dk1"/>
              </a:solidFill>
              <a:effectLst/>
              <a:latin typeface="+mn-lt"/>
              <a:ea typeface="+mn-ea"/>
              <a:cs typeface="+mn-cs"/>
            </a:rPr>
            <a:t>3. EV market share increased from 0.12% to 9.53% over the study period. </a:t>
          </a:r>
        </a:p>
        <a:p>
          <a:pPr marL="0" indent="0" algn="l"/>
          <a:r>
            <a:rPr lang="en-AU" sz="2400" b="1" i="0" u="none" strike="noStrike">
              <a:solidFill>
                <a:schemeClr val="dk1"/>
              </a:solidFill>
              <a:effectLst/>
              <a:latin typeface="+mn-lt"/>
              <a:ea typeface="+mn-ea"/>
              <a:cs typeface="+mn-cs"/>
            </a:rPr>
            <a:t>4.National emissions declined by approximately 18% between 2016 and 2024. </a:t>
          </a:r>
        </a:p>
        <a:p>
          <a:pPr marL="0" indent="0" algn="l"/>
          <a:r>
            <a:rPr lang="en-AU" sz="2400" b="1" i="0" u="none" strike="noStrike">
              <a:solidFill>
                <a:schemeClr val="dk1"/>
              </a:solidFill>
              <a:effectLst/>
              <a:latin typeface="+mn-lt"/>
              <a:ea typeface="+mn-ea"/>
              <a:cs typeface="+mn-cs"/>
            </a:rPr>
            <a:t>5.</a:t>
          </a:r>
          <a:r>
            <a:rPr lang="en-AU" sz="2400" b="1" i="0" u="none" strike="noStrike" baseline="0">
              <a:solidFill>
                <a:schemeClr val="dk1"/>
              </a:solidFill>
              <a:effectLst/>
              <a:latin typeface="+mn-lt"/>
              <a:ea typeface="+mn-ea"/>
              <a:cs typeface="+mn-cs"/>
            </a:rPr>
            <a:t> </a:t>
          </a:r>
          <a:r>
            <a:rPr lang="en-AU" sz="2400" b="1" i="0" u="none" strike="noStrike">
              <a:solidFill>
                <a:schemeClr val="dk1"/>
              </a:solidFill>
              <a:effectLst/>
              <a:latin typeface="+mn-lt"/>
              <a:ea typeface="+mn-ea"/>
              <a:cs typeface="+mn-cs"/>
            </a:rPr>
            <a:t>Renewable energy growth and EV adoption accelerated after 2020, indicating progress towards a lower-carbon </a:t>
          </a:r>
          <a:r>
            <a:rPr lang="en-AU" sz="2400"/>
            <a:t>economy.</a:t>
          </a:r>
          <a:endParaRPr lang="en-AU" sz="2400" b="1" i="0" u="none" strike="noStrike">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Akif Hasan" refreshedDate="46180.559930555559" createdVersion="8" refreshedVersion="8" minRefreshableVersion="3" recordCount="9" xr:uid="{34E143F5-325A-0A41-9020-7ED95E75EFE7}">
  <cacheSource type="worksheet">
    <worksheetSource name="Table410"/>
  </cacheSource>
  <cacheFields count="2">
    <cacheField name="Year" numFmtId="0">
      <sharedItems containsSemiMixedTypes="0" containsString="0" containsNumber="1" containsInteger="1" minValue="2016" maxValue="2024" count="9">
        <n v="2016"/>
        <n v="2017"/>
        <n v="2018"/>
        <n v="2019"/>
        <n v="2020"/>
        <n v="2021"/>
        <n v="2022"/>
        <n v="2023"/>
        <n v="2024"/>
      </sharedItems>
    </cacheField>
    <cacheField name="Energy Consumption (PJ)" numFmtId="164">
      <sharedItems containsSemiMixedTypes="0" containsString="0" containsNumber="1" minValue="5784.6840000000002" maxValue="6199.1970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Akif Hasan" refreshedDate="46180.561740856479" createdVersion="8" refreshedVersion="8" minRefreshableVersion="3" recordCount="9" xr:uid="{0ED4C43F-B370-184B-A20E-72C32308F754}">
  <cacheSource type="worksheet">
    <worksheetSource name="Table5"/>
  </cacheSource>
  <cacheFields count="4">
    <cacheField name="Column1" numFmtId="1">
      <sharedItems containsSemiMixedTypes="0" containsString="0" containsNumber="1" containsInteger="1" minValue="2016" maxValue="2024" count="9">
        <n v="2016"/>
        <n v="2017"/>
        <n v="2018"/>
        <n v="2019"/>
        <n v="2020"/>
        <n v="2021"/>
        <n v="2022"/>
        <n v="2023"/>
        <n v="2024"/>
      </sharedItems>
    </cacheField>
    <cacheField name="Renewable Generation (GWh)" numFmtId="0">
      <sharedItems containsString="0" containsBlank="1" containsNumber="1" minValue="38146" maxValue="83995.6"/>
    </cacheField>
    <cacheField name="Total Generation (GWh)" numFmtId="0">
      <sharedItems containsString="0" containsBlank="1" containsNumber="1" minValue="257428.6" maxValue="271531.59999999998"/>
    </cacheField>
    <cacheField name="Renewable Share %" numFmtId="10">
      <sharedItems containsString="0" containsBlank="1" containsNumber="1" minValue="0.14818089365361889" maxValue="0.30934005471186415" count="8">
        <n v="0.14818089365361889"/>
        <n v="0.15679044404050896"/>
        <n v="0.17100845373848764"/>
        <n v="0.19703916308464256"/>
        <n v="0.22600010106411461"/>
        <n v="0.26660516014603403"/>
        <n v="0.30934005471186415"/>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Akif Hasan" refreshedDate="46180.573230787035" createdVersion="8" refreshedVersion="8" minRefreshableVersion="3" recordCount="9" xr:uid="{4B6C37F6-CE86-674A-8B86-6EE029DA9DA9}">
  <cacheSource type="worksheet">
    <worksheetSource name="Table6"/>
  </cacheSource>
  <cacheFields count="3">
    <cacheField name="Year" numFmtId="1">
      <sharedItems containsSemiMixedTypes="0" containsString="0" containsNumber="1" containsInteger="1" minValue="2016" maxValue="2024" count="9">
        <n v="2016"/>
        <n v="2017"/>
        <n v="2018"/>
        <n v="2019"/>
        <n v="2020"/>
        <n v="2021"/>
        <n v="2022"/>
        <n v="2023"/>
        <n v="2024"/>
      </sharedItems>
    </cacheField>
    <cacheField name="EV Sales" numFmtId="3">
      <sharedItems containsSemiMixedTypes="0" containsString="0" containsNumber="1" containsInteger="1" minValue="1369" maxValue="98436"/>
    </cacheField>
    <cacheField name="EV Market Share %" numFmtId="10">
      <sharedItems containsSemiMixedTypes="0" containsString="0" containsNumber="1" minValue="1.1999999999999999E-3" maxValue="9.5299999999999996E-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Akif Hasan" refreshedDate="46180.575513888885" createdVersion="8" refreshedVersion="8" minRefreshableVersion="3" recordCount="9" xr:uid="{475C4044-258B-264E-AEE6-88B717464644}">
  <cacheSource type="worksheet">
    <worksheetSource name="Table7"/>
  </cacheSource>
  <cacheFields count="2">
    <cacheField name="Year" numFmtId="1">
      <sharedItems containsSemiMixedTypes="0" containsString="0" containsNumber="1" containsInteger="1" minValue="2016" maxValue="2024" count="9">
        <n v="2016"/>
        <n v="2017"/>
        <n v="2018"/>
        <n v="2019"/>
        <n v="2020"/>
        <n v="2021"/>
        <n v="2022"/>
        <n v="2023"/>
        <n v="2024"/>
      </sharedItems>
    </cacheField>
    <cacheField name="Total Emissions (Mt CO₂-e)" numFmtId="173">
      <sharedItems containsSemiMixedTypes="0" containsString="0" containsNumber="1" minValue="109.76550603377987" maxValue="134.0619183765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6035.2039999999997"/>
  </r>
  <r>
    <x v="1"/>
    <n v="6105.0039999999999"/>
  </r>
  <r>
    <x v="2"/>
    <n v="6168.5339999999997"/>
  </r>
  <r>
    <x v="3"/>
    <n v="6199.1970000000001"/>
  </r>
  <r>
    <x v="4"/>
    <n v="6032.6379999999999"/>
  </r>
  <r>
    <x v="5"/>
    <n v="5784.6840000000002"/>
  </r>
  <r>
    <x v="6"/>
    <n v="5830.4780000000001"/>
  </r>
  <r>
    <x v="7"/>
    <n v="5949.7269999999999"/>
  </r>
  <r>
    <x v="8"/>
    <n v="5976.655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38146"/>
    <n v="257428.6"/>
    <x v="0"/>
  </r>
  <r>
    <x v="1"/>
    <n v="40454.6"/>
    <n v="258017"/>
    <x v="1"/>
  </r>
  <r>
    <x v="2"/>
    <n v="44642.8"/>
    <n v="261056.1"/>
    <x v="2"/>
  </r>
  <r>
    <x v="3"/>
    <n v="52023.6"/>
    <n v="264026.7"/>
    <x v="3"/>
  </r>
  <r>
    <x v="4"/>
    <n v="59930.3"/>
    <n v="265178.2"/>
    <x v="4"/>
  </r>
  <r>
    <x v="5"/>
    <n v="70798.2"/>
    <n v="265554.5"/>
    <x v="5"/>
  </r>
  <r>
    <x v="6"/>
    <n v="83995.6"/>
    <n v="271531.59999999998"/>
    <x v="6"/>
  </r>
  <r>
    <x v="7"/>
    <m/>
    <m/>
    <x v="7"/>
  </r>
  <r>
    <x v="8"/>
    <m/>
    <m/>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1369"/>
    <n v="1.1999999999999999E-3"/>
  </r>
  <r>
    <x v="1"/>
    <n v="2284"/>
    <n v="1.9E-3"/>
  </r>
  <r>
    <x v="2"/>
    <n v="2216"/>
    <n v="2.0999999999999999E-3"/>
  </r>
  <r>
    <x v="3"/>
    <n v="6718"/>
    <n v="6.4999999999999997E-3"/>
  </r>
  <r>
    <x v="4"/>
    <n v="6900"/>
    <n v="7.7999999999999996E-3"/>
  </r>
  <r>
    <x v="5"/>
    <n v="20665"/>
    <n v="1.95E-2"/>
  </r>
  <r>
    <x v="6"/>
    <n v="39353"/>
    <n v="3.8100000000000002E-2"/>
  </r>
  <r>
    <x v="7"/>
    <n v="98436"/>
    <n v="8.4500000000000006E-2"/>
  </r>
  <r>
    <x v="8"/>
    <n v="85319"/>
    <n v="9.5299999999999996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134.06191837653"/>
  </r>
  <r>
    <x v="1"/>
    <n v="127.03858145636282"/>
  </r>
  <r>
    <x v="2"/>
    <n v="124.59188630341023"/>
  </r>
  <r>
    <x v="3"/>
    <n v="121.30648474151273"/>
  </r>
  <r>
    <x v="4"/>
    <n v="109.76550603377987"/>
  </r>
  <r>
    <x v="5"/>
    <n v="110.80439059484888"/>
  </r>
  <r>
    <x v="6"/>
    <n v="113.14783820076579"/>
  </r>
  <r>
    <x v="7"/>
    <n v="111.28431723715053"/>
  </r>
  <r>
    <x v="8"/>
    <n v="109.973028921063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41CA5C-1CB4-814C-BE56-4499645C7C2C}" name="PivotTable7" cacheId="2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E16:F26" firstHeaderRow="1" firstDataRow="1" firstDataCol="1"/>
  <pivotFields count="2">
    <pivotField axis="axisRow" numFmtId="1" showAll="0">
      <items count="10">
        <item x="0"/>
        <item x="1"/>
        <item x="2"/>
        <item x="3"/>
        <item x="4"/>
        <item x="5"/>
        <item x="6"/>
        <item x="7"/>
        <item x="8"/>
        <item t="default"/>
      </items>
    </pivotField>
    <pivotField dataField="1" numFmtId="173" showAll="0"/>
  </pivotFields>
  <rowFields count="1">
    <field x="0"/>
  </rowFields>
  <rowItems count="10">
    <i>
      <x/>
    </i>
    <i>
      <x v="1"/>
    </i>
    <i>
      <x v="2"/>
    </i>
    <i>
      <x v="3"/>
    </i>
    <i>
      <x v="4"/>
    </i>
    <i>
      <x v="5"/>
    </i>
    <i>
      <x v="6"/>
    </i>
    <i>
      <x v="7"/>
    </i>
    <i>
      <x v="8"/>
    </i>
    <i t="grand">
      <x/>
    </i>
  </rowItems>
  <colItems count="1">
    <i/>
  </colItems>
  <dataFields count="1">
    <dataField name="Emissions " fld="1" baseField="0" baseItem="0" numFmtId="2"/>
  </dataFields>
  <formats count="2">
    <format dxfId="2">
      <pivotArea outline="0" collapsedLevelsAreSubtotals="1" fieldPosition="0"/>
    </format>
    <format dxfId="3">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02E6E0-8298-0B46-B877-FDA2BF345744}" name="PivotTable6" cacheId="2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E2:F12" firstHeaderRow="1" firstDataRow="1" firstDataCol="1"/>
  <pivotFields count="3">
    <pivotField axis="axisRow" numFmtId="1" showAll="0">
      <items count="10">
        <item x="0"/>
        <item x="1"/>
        <item x="2"/>
        <item x="3"/>
        <item x="4"/>
        <item x="5"/>
        <item x="6"/>
        <item x="7"/>
        <item x="8"/>
        <item t="default"/>
      </items>
    </pivotField>
    <pivotField dataField="1" numFmtId="3" showAll="0"/>
    <pivotField numFmtId="10" showAll="0"/>
  </pivotFields>
  <rowFields count="1">
    <field x="0"/>
  </rowFields>
  <rowItems count="10">
    <i>
      <x/>
    </i>
    <i>
      <x v="1"/>
    </i>
    <i>
      <x v="2"/>
    </i>
    <i>
      <x v="3"/>
    </i>
    <i>
      <x v="4"/>
    </i>
    <i>
      <x v="5"/>
    </i>
    <i>
      <x v="6"/>
    </i>
    <i>
      <x v="7"/>
    </i>
    <i>
      <x v="8"/>
    </i>
    <i t="grand">
      <x/>
    </i>
  </rowItems>
  <colItems count="1">
    <i/>
  </colItems>
  <dataFields count="1">
    <dataField name="EV Sales " fld="1" baseField="0" baseItem="0" numFmtId="3"/>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141A62-7BD2-E94B-AE5E-ADC307FACDF2}" name="PivotTable5" cacheId="1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A16:B26" firstHeaderRow="1" firstDataRow="1" firstDataCol="1"/>
  <pivotFields count="4">
    <pivotField axis="axisRow" numFmtId="1" showAll="0">
      <items count="10">
        <item x="0"/>
        <item x="1"/>
        <item x="2"/>
        <item x="3"/>
        <item x="4"/>
        <item x="5"/>
        <item x="6"/>
        <item x="7"/>
        <item x="8"/>
        <item t="default"/>
      </items>
    </pivotField>
    <pivotField showAll="0"/>
    <pivotField showAll="0"/>
    <pivotField dataField="1" showAll="0">
      <items count="9">
        <item x="0"/>
        <item x="1"/>
        <item x="2"/>
        <item x="3"/>
        <item x="4"/>
        <item x="5"/>
        <item x="6"/>
        <item x="7"/>
        <item t="default"/>
      </items>
    </pivotField>
  </pivotFields>
  <rowFields count="1">
    <field x="0"/>
  </rowFields>
  <rowItems count="10">
    <i>
      <x/>
    </i>
    <i>
      <x v="1"/>
    </i>
    <i>
      <x v="2"/>
    </i>
    <i>
      <x v="3"/>
    </i>
    <i>
      <x v="4"/>
    </i>
    <i>
      <x v="5"/>
    </i>
    <i>
      <x v="6"/>
    </i>
    <i>
      <x v="7"/>
    </i>
    <i>
      <x v="8"/>
    </i>
    <i t="grand">
      <x/>
    </i>
  </rowItems>
  <colItems count="1">
    <i/>
  </colItems>
  <dataFields count="1">
    <dataField name="Average of Renewable Share %" fld="3" subtotal="average" baseField="0" baseItem="0" numFmtId="9"/>
  </dataFields>
  <formats count="3">
    <format dxfId="4">
      <pivotArea collapsedLevelsAreSubtotals="1" fieldPosition="0">
        <references count="1">
          <reference field="0" count="1">
            <x v="0"/>
          </reference>
        </references>
      </pivotArea>
    </format>
    <format dxfId="5">
      <pivotArea outline="0" collapsedLevelsAreSubtotals="1" fieldPosition="0"/>
    </format>
    <format dxfId="6">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4A0255-E33B-154E-BC1C-70CCB9BF10BA}" name="PivotTable4" cacheId="186" applyNumberFormats="0" applyBorderFormats="0" applyFontFormats="0" applyPatternFormats="0" applyAlignmentFormats="0" applyWidthHeightFormats="1" dataCaption="Values" grandTotalCaption="Sum of Energy" updatedVersion="8" minRefreshableVersion="3" useAutoFormatting="1" itemPrintTitles="1" createdVersion="8" indent="0" outline="1" outlineData="1" multipleFieldFilters="0" chartFormat="8" rowHeaderCaption="Year">
  <location ref="A2:B12" firstHeaderRow="1" firstDataRow="1" firstDataCol="1"/>
  <pivotFields count="2">
    <pivotField axis="axisRow" showAll="0">
      <items count="10">
        <item x="0"/>
        <item x="1"/>
        <item x="2"/>
        <item x="3"/>
        <item x="4"/>
        <item x="5"/>
        <item x="6"/>
        <item x="7"/>
        <item x="8"/>
        <item t="default"/>
      </items>
    </pivotField>
    <pivotField dataField="1" numFmtId="164" showAll="0"/>
  </pivotFields>
  <rowFields count="1">
    <field x="0"/>
  </rowFields>
  <rowItems count="10">
    <i>
      <x/>
    </i>
    <i>
      <x v="1"/>
    </i>
    <i>
      <x v="2"/>
    </i>
    <i>
      <x v="3"/>
    </i>
    <i>
      <x v="4"/>
    </i>
    <i>
      <x v="5"/>
    </i>
    <i>
      <x v="6"/>
    </i>
    <i>
      <x v="7"/>
    </i>
    <i>
      <x v="8"/>
    </i>
    <i t="grand">
      <x/>
    </i>
  </rowItems>
  <colItems count="1">
    <i/>
  </colItems>
  <dataFields count="1">
    <dataField name="Energy Consumption (PJ) " fld="1" baseField="0" baseItem="0" numFmtId="2"/>
  </dataFields>
  <formats count="6">
    <format dxfId="7">
      <pivotArea field="0" type="button" dataOnly="0" labelOnly="1" outline="0" axis="axisRow" fieldPosition="0"/>
    </format>
    <format dxfId="8">
      <pivotArea dataOnly="0" labelOnly="1" outline="0" axis="axisValues" fieldPosition="0"/>
    </format>
    <format dxfId="9">
      <pivotArea field="0" type="button" dataOnly="0" labelOnly="1" outline="0" axis="axisRow" fieldPosition="0"/>
    </format>
    <format dxfId="10">
      <pivotArea dataOnly="0" labelOnly="1" outline="0" axis="axisValues" fieldPosition="0"/>
    </format>
    <format dxfId="1">
      <pivotArea outline="0" collapsedLevelsAreSubtotals="1" fieldPosition="0"/>
    </format>
    <format dxfId="0">
      <pivotArea dataOnly="0" labelOnly="1" outline="0" axis="axisValues"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77F534-8DAA-A04F-A29B-A59A49A80BD7}" name="Table410" displayName="Table410" ref="A1:B10" totalsRowShown="0">
  <autoFilter ref="A1:B10" xr:uid="{3D77F534-8DAA-A04F-A29B-A59A49A80BD7}"/>
  <tableColumns count="2">
    <tableColumn id="1" xr3:uid="{B50EFF1A-D0AD-3544-AC28-563B3A675C0F}" name="Year" dataDxfId="12"/>
    <tableColumn id="2" xr3:uid="{F863372C-9401-AB4A-B376-236D7F4700CC}" name="Energy Consumption (PJ)" dataDxfId="1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96BA69-C1B3-1A4B-9CAF-0895018AE23B}" name="Table5" displayName="Table5" ref="A1:D10" totalsRowShown="0" headerRowDxfId="24">
  <autoFilter ref="A1:D10" xr:uid="{8596BA69-C1B3-1A4B-9CAF-0895018AE23B}"/>
  <tableColumns count="4">
    <tableColumn id="1" xr3:uid="{60A7654C-4C27-B144-B890-C913AD5C2597}" name="Year" dataDxfId="28"/>
    <tableColumn id="2" xr3:uid="{BB5B133D-17EC-5742-BB4C-7E5083EE2134}" name="Renewable Generation (GWh)" dataDxfId="27"/>
    <tableColumn id="3" xr3:uid="{B98D6650-C9EF-584A-A858-7FB6EDBA5C01}" name="Total Generation (GWh)" dataDxfId="26"/>
    <tableColumn id="4" xr3:uid="{05AA536B-D112-1C46-B995-5AD2C66CC69E}" name="Renewable Share %" dataDxfId="2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B7023B-77A4-784E-B2E4-CB553955464D}" name="Table6" displayName="Table6" ref="A1:C10" totalsRowShown="0">
  <autoFilter ref="A1:C10" xr:uid="{7AB7023B-77A4-784E-B2E4-CB553955464D}"/>
  <tableColumns count="3">
    <tableColumn id="1" xr3:uid="{EC254A31-820D-AC48-B807-46D431BFA1AA}" name="Year" dataDxfId="23"/>
    <tableColumn id="2" xr3:uid="{F82A7307-FBFF-9344-809A-C34EB9318239}" name="EV Sales" dataDxfId="22"/>
    <tableColumn id="3" xr3:uid="{23402D52-5D5D-C248-A0CC-3E66994FC8AF}" name="EV Market Share %" dataDxfId="21"/>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807C1C-E229-9840-9E8B-3E17192395B0}" name="Table7" displayName="Table7" ref="A1:B10" totalsRowShown="0">
  <autoFilter ref="A1:B10" xr:uid="{4A807C1C-E229-9840-9E8B-3E17192395B0}"/>
  <tableColumns count="2">
    <tableColumn id="1" xr3:uid="{164F5E4C-3C6B-B148-B12F-6C03BA18B872}" name="Year" dataDxfId="20"/>
    <tableColumn id="2" xr3:uid="{DD1FCEE7-5126-0A4B-A53B-A99536FFC816}" name="Total Emissions (Mt CO₂-e)" dataDxfId="19" dataCellStyle="Comma"/>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22016B-422D-8B48-9BCB-A0C9524527EC}" name="Table8" displayName="Table8" ref="A1:F10" totalsRowShown="0" headerRowDxfId="13">
  <autoFilter ref="A1:F10" xr:uid="{3E22016B-422D-8B48-9BCB-A0C9524527EC}"/>
  <tableColumns count="6">
    <tableColumn id="1" xr3:uid="{4F844D41-3E00-174B-8AE8-D6E550E71716}" name="Year"/>
    <tableColumn id="2" xr3:uid="{CE8A14D7-2FF9-BF45-BFF6-425C84AD970E}" name="Energy Consumption(Pj)" dataDxfId="18"/>
    <tableColumn id="3" xr3:uid="{9381EF87-7738-984D-828E-7BBBFF8B1BE1}" name="Renewable Share %" dataDxfId="17"/>
    <tableColumn id="4" xr3:uid="{051D1921-638F-8346-B684-C1448A8709E8}" name="EV Sales" dataDxfId="16"/>
    <tableColumn id="5" xr3:uid="{C929F264-DB2F-7643-AFEC-CF6425444B79}" name="EV Market Share %" dataDxfId="15"/>
    <tableColumn id="6" xr3:uid="{BD574AE5-F035-F341-9EE2-A04C86D3C6B7}" name="Emissions" dataDxfId="14" dataCellStyle="Comm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1942B-550E-4365-AEEE-CFF127B63B1F}">
  <dimension ref="A1:A8"/>
  <sheetViews>
    <sheetView tabSelected="1" workbookViewId="0">
      <selection activeCell="T1" sqref="T1"/>
    </sheetView>
  </sheetViews>
  <sheetFormatPr baseColWidth="10" defaultColWidth="8.83203125" defaultRowHeight="15"/>
  <sheetData>
    <row r="1" spans="1:1" ht="109" customHeight="1"/>
    <row r="2" spans="1:1" ht="23.25" customHeight="1">
      <c r="A2" s="15" t="s">
        <v>107</v>
      </c>
    </row>
    <row r="3" spans="1:1" ht="23.5" customHeight="1">
      <c r="A3" s="15" t="s">
        <v>108</v>
      </c>
    </row>
    <row r="8" spans="1:1">
      <c r="A8" s="10" t="s">
        <v>109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75"/>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ColWidth="11.5" defaultRowHeight="15"/>
  <cols>
    <col min="1" max="1" width="2.83203125" customWidth="1"/>
    <col min="2" max="2" width="9.6640625" customWidth="1"/>
    <col min="3" max="5" width="12.83203125" customWidth="1"/>
    <col min="6" max="6" width="14.5" customWidth="1"/>
    <col min="7" max="7" width="16.33203125" customWidth="1"/>
    <col min="8" max="8" width="12.83203125" customWidth="1"/>
  </cols>
  <sheetData>
    <row r="1" spans="2:8" ht="15" customHeight="1"/>
    <row r="2" spans="2:8" ht="18" customHeight="1">
      <c r="B2" s="9" t="s">
        <v>71</v>
      </c>
    </row>
    <row r="3" spans="2:8" ht="18" customHeight="1">
      <c r="B3" s="9" t="s">
        <v>89</v>
      </c>
    </row>
    <row r="4" spans="2:8" ht="15" customHeight="1"/>
    <row r="5" spans="2:8" ht="30" customHeight="1">
      <c r="B5" s="1"/>
      <c r="C5" s="5" t="s">
        <v>0</v>
      </c>
      <c r="D5" s="5" t="s">
        <v>1</v>
      </c>
      <c r="E5" s="5" t="s">
        <v>2</v>
      </c>
      <c r="F5" s="5" t="s">
        <v>3</v>
      </c>
      <c r="G5" s="5" t="s">
        <v>90</v>
      </c>
      <c r="H5" s="5" t="s">
        <v>4</v>
      </c>
    </row>
    <row r="6" spans="2:8" ht="15" customHeight="1">
      <c r="B6" s="2"/>
      <c r="C6" s="8" t="s">
        <v>70</v>
      </c>
      <c r="D6" s="8" t="s">
        <v>70</v>
      </c>
      <c r="E6" s="8" t="s">
        <v>70</v>
      </c>
      <c r="F6" s="8" t="s">
        <v>70</v>
      </c>
      <c r="G6" s="8" t="s">
        <v>70</v>
      </c>
      <c r="H6" s="8" t="s">
        <v>70</v>
      </c>
    </row>
    <row r="7" spans="2:8" ht="15" customHeight="1">
      <c r="B7" s="6" t="s">
        <v>5</v>
      </c>
      <c r="C7" s="3" t="s">
        <v>6</v>
      </c>
      <c r="D7" s="3">
        <v>510</v>
      </c>
      <c r="E7" s="3">
        <v>0</v>
      </c>
      <c r="F7" s="3">
        <v>189.1</v>
      </c>
      <c r="G7" s="3" t="s">
        <v>6</v>
      </c>
      <c r="H7" s="3">
        <v>1336.6</v>
      </c>
    </row>
    <row r="8" spans="2:8" ht="15" customHeight="1">
      <c r="B8" s="6" t="s">
        <v>7</v>
      </c>
      <c r="C8" s="3" t="s">
        <v>6</v>
      </c>
      <c r="D8" s="3">
        <v>537.29999999999995</v>
      </c>
      <c r="E8" s="3">
        <v>0</v>
      </c>
      <c r="F8" s="3">
        <v>185.6</v>
      </c>
      <c r="G8" s="3" t="s">
        <v>6</v>
      </c>
      <c r="H8" s="3">
        <v>1365.8</v>
      </c>
    </row>
    <row r="9" spans="2:8" ht="15" customHeight="1">
      <c r="B9" s="6" t="s">
        <v>8</v>
      </c>
      <c r="C9" s="3" t="s">
        <v>6</v>
      </c>
      <c r="D9" s="3">
        <v>581.9</v>
      </c>
      <c r="E9" s="3">
        <v>0.1</v>
      </c>
      <c r="F9" s="3">
        <v>194.6</v>
      </c>
      <c r="G9" s="3" t="s">
        <v>6</v>
      </c>
      <c r="H9" s="3">
        <v>1432.2</v>
      </c>
    </row>
    <row r="10" spans="2:8" ht="15" customHeight="1">
      <c r="B10" s="6" t="s">
        <v>9</v>
      </c>
      <c r="C10" s="3" t="s">
        <v>6</v>
      </c>
      <c r="D10" s="3">
        <v>656.8</v>
      </c>
      <c r="E10" s="3">
        <v>0.1</v>
      </c>
      <c r="F10" s="3">
        <v>188.9</v>
      </c>
      <c r="G10" s="3" t="s">
        <v>6</v>
      </c>
      <c r="H10" s="3">
        <v>1531.4</v>
      </c>
    </row>
    <row r="11" spans="2:8" ht="15" customHeight="1">
      <c r="B11" s="6" t="s">
        <v>10</v>
      </c>
      <c r="C11" s="3" t="s">
        <v>6</v>
      </c>
      <c r="D11" s="3">
        <v>719.9</v>
      </c>
      <c r="E11" s="3">
        <v>0.1</v>
      </c>
      <c r="F11" s="3">
        <v>198.2</v>
      </c>
      <c r="G11" s="3" t="s">
        <v>6</v>
      </c>
      <c r="H11" s="3">
        <v>1625.3</v>
      </c>
    </row>
    <row r="12" spans="2:8" ht="15" customHeight="1">
      <c r="B12" s="6" t="s">
        <v>11</v>
      </c>
      <c r="C12" s="3" t="s">
        <v>6</v>
      </c>
      <c r="D12" s="3">
        <v>784.7</v>
      </c>
      <c r="E12" s="3">
        <v>0.2</v>
      </c>
      <c r="F12" s="3">
        <v>186.5</v>
      </c>
      <c r="G12" s="3" t="s">
        <v>6</v>
      </c>
      <c r="H12" s="3">
        <v>1713.1</v>
      </c>
    </row>
    <row r="13" spans="2:8" ht="15" customHeight="1">
      <c r="B13" s="6" t="s">
        <v>12</v>
      </c>
      <c r="C13" s="3" t="s">
        <v>6</v>
      </c>
      <c r="D13" s="3">
        <v>853.1</v>
      </c>
      <c r="E13" s="3">
        <v>0.2</v>
      </c>
      <c r="F13" s="3">
        <v>192</v>
      </c>
      <c r="G13" s="3" t="s">
        <v>6</v>
      </c>
      <c r="H13" s="3">
        <v>1805.8</v>
      </c>
    </row>
    <row r="14" spans="2:8" ht="15" customHeight="1">
      <c r="B14" s="6" t="s">
        <v>13</v>
      </c>
      <c r="C14" s="3" t="s">
        <v>6</v>
      </c>
      <c r="D14" s="3">
        <v>932.3</v>
      </c>
      <c r="E14" s="3">
        <v>0.2</v>
      </c>
      <c r="F14" s="3">
        <v>187.7</v>
      </c>
      <c r="G14" s="3" t="s">
        <v>6</v>
      </c>
      <c r="H14" s="3">
        <v>1898.9</v>
      </c>
    </row>
    <row r="15" spans="2:8" ht="15" customHeight="1">
      <c r="B15" s="6" t="s">
        <v>14</v>
      </c>
      <c r="C15" s="3" t="s">
        <v>6</v>
      </c>
      <c r="D15" s="3">
        <v>1029.2</v>
      </c>
      <c r="E15" s="3">
        <v>2.1</v>
      </c>
      <c r="F15" s="3">
        <v>189.8</v>
      </c>
      <c r="G15" s="3" t="s">
        <v>6</v>
      </c>
      <c r="H15" s="3">
        <v>2025.9</v>
      </c>
    </row>
    <row r="16" spans="2:8" ht="15" customHeight="1">
      <c r="B16" s="6" t="s">
        <v>15</v>
      </c>
      <c r="C16" s="3" t="s">
        <v>6</v>
      </c>
      <c r="D16" s="3">
        <v>1098.5999999999999</v>
      </c>
      <c r="E16" s="3">
        <v>29.5</v>
      </c>
      <c r="F16" s="3">
        <v>180.9</v>
      </c>
      <c r="G16" s="3" t="s">
        <v>6</v>
      </c>
      <c r="H16" s="3">
        <v>2137.6</v>
      </c>
    </row>
    <row r="17" spans="2:8" ht="15" customHeight="1">
      <c r="B17" s="6" t="s">
        <v>16</v>
      </c>
      <c r="C17" s="3" t="s">
        <v>6</v>
      </c>
      <c r="D17" s="3">
        <v>1134.0999999999999</v>
      </c>
      <c r="E17" s="3">
        <v>74.400000000000006</v>
      </c>
      <c r="F17" s="3">
        <v>191.4</v>
      </c>
      <c r="G17" s="3" t="s">
        <v>6</v>
      </c>
      <c r="H17" s="3">
        <v>2210.3000000000002</v>
      </c>
    </row>
    <row r="18" spans="2:8" ht="15" customHeight="1">
      <c r="B18" s="6" t="s">
        <v>17</v>
      </c>
      <c r="C18" s="3" t="s">
        <v>6</v>
      </c>
      <c r="D18" s="3">
        <v>1189.0999999999999</v>
      </c>
      <c r="E18" s="3">
        <v>102.2</v>
      </c>
      <c r="F18" s="3">
        <v>194.2</v>
      </c>
      <c r="G18" s="3" t="s">
        <v>6</v>
      </c>
      <c r="H18" s="3">
        <v>2331.1999999999998</v>
      </c>
    </row>
    <row r="19" spans="2:8" ht="15" customHeight="1">
      <c r="B19" s="6" t="s">
        <v>18</v>
      </c>
      <c r="C19" s="3" t="s">
        <v>6</v>
      </c>
      <c r="D19" s="3">
        <v>1217.5999999999999</v>
      </c>
      <c r="E19" s="3">
        <v>144.1</v>
      </c>
      <c r="F19" s="3">
        <v>190.6</v>
      </c>
      <c r="G19" s="3" t="s">
        <v>6</v>
      </c>
      <c r="H19" s="3">
        <v>2447.8000000000002</v>
      </c>
    </row>
    <row r="20" spans="2:8" ht="15" customHeight="1">
      <c r="B20" s="6" t="s">
        <v>19</v>
      </c>
      <c r="C20" s="3">
        <v>920.2</v>
      </c>
      <c r="D20" s="3">
        <v>1333.2</v>
      </c>
      <c r="E20" s="3">
        <v>172.5</v>
      </c>
      <c r="F20" s="3">
        <v>197.4</v>
      </c>
      <c r="G20" s="3">
        <v>-8.1</v>
      </c>
      <c r="H20" s="3">
        <v>2615.1999999999998</v>
      </c>
    </row>
    <row r="21" spans="2:8" ht="15" customHeight="1">
      <c r="B21" s="6" t="s">
        <v>20</v>
      </c>
      <c r="C21" s="3">
        <v>981.1</v>
      </c>
      <c r="D21" s="3">
        <v>1327.7</v>
      </c>
      <c r="E21" s="3">
        <v>189.2</v>
      </c>
      <c r="F21" s="3">
        <v>204</v>
      </c>
      <c r="G21" s="3">
        <v>-7.2</v>
      </c>
      <c r="H21" s="3">
        <v>2694.8</v>
      </c>
    </row>
    <row r="22" spans="2:8" ht="15" customHeight="1">
      <c r="B22" s="6" t="s">
        <v>21</v>
      </c>
      <c r="C22" s="3">
        <v>981.2</v>
      </c>
      <c r="D22" s="3">
        <v>1339.7</v>
      </c>
      <c r="E22" s="3">
        <v>211.2</v>
      </c>
      <c r="F22" s="3">
        <v>206.2</v>
      </c>
      <c r="G22" s="3">
        <v>-7.5</v>
      </c>
      <c r="H22" s="3">
        <v>2730.8</v>
      </c>
    </row>
    <row r="23" spans="2:8" ht="15" customHeight="1">
      <c r="B23" s="6" t="s">
        <v>22</v>
      </c>
      <c r="C23" s="3">
        <v>1047.7</v>
      </c>
      <c r="D23" s="3">
        <v>1410.6</v>
      </c>
      <c r="E23" s="3">
        <v>256.2</v>
      </c>
      <c r="F23" s="3">
        <v>199.3</v>
      </c>
      <c r="G23" s="3">
        <v>-7.9</v>
      </c>
      <c r="H23" s="3">
        <v>2905.9</v>
      </c>
    </row>
    <row r="24" spans="2:8" ht="15" customHeight="1">
      <c r="B24" s="6" t="s">
        <v>23</v>
      </c>
      <c r="C24" s="3">
        <v>1070.4000000000001</v>
      </c>
      <c r="D24" s="3">
        <v>1438.3</v>
      </c>
      <c r="E24" s="3">
        <v>283</v>
      </c>
      <c r="F24" s="3">
        <v>201.2</v>
      </c>
      <c r="G24" s="3">
        <v>-7.8</v>
      </c>
      <c r="H24" s="3">
        <v>2985.1</v>
      </c>
    </row>
    <row r="25" spans="2:8" ht="15" customHeight="1">
      <c r="B25" s="6" t="s">
        <v>24</v>
      </c>
      <c r="C25" s="3">
        <v>1103</v>
      </c>
      <c r="D25" s="3">
        <v>1440.9</v>
      </c>
      <c r="E25" s="3">
        <v>314.89999999999998</v>
      </c>
      <c r="F25" s="3">
        <v>199.6</v>
      </c>
      <c r="G25" s="3">
        <v>-5.3</v>
      </c>
      <c r="H25" s="3">
        <v>3053.1</v>
      </c>
    </row>
    <row r="26" spans="2:8" ht="15" customHeight="1">
      <c r="B26" s="6" t="s">
        <v>25</v>
      </c>
      <c r="C26" s="3">
        <v>1168.9000000000001</v>
      </c>
      <c r="D26" s="3">
        <v>1411.6</v>
      </c>
      <c r="E26" s="3">
        <v>362.6</v>
      </c>
      <c r="F26" s="3">
        <v>193.6</v>
      </c>
      <c r="G26" s="3">
        <v>-5.3</v>
      </c>
      <c r="H26" s="3">
        <v>3131.4</v>
      </c>
    </row>
    <row r="27" spans="2:8" ht="15" customHeight="1">
      <c r="B27" s="6" t="s">
        <v>26</v>
      </c>
      <c r="C27" s="3">
        <v>1169.4000000000001</v>
      </c>
      <c r="D27" s="3">
        <v>1358.6</v>
      </c>
      <c r="E27" s="3">
        <v>416</v>
      </c>
      <c r="F27" s="3">
        <v>206</v>
      </c>
      <c r="G27" s="3">
        <v>-3.7</v>
      </c>
      <c r="H27" s="3">
        <v>3146.3</v>
      </c>
    </row>
    <row r="28" spans="2:8" ht="15" customHeight="1">
      <c r="B28" s="6" t="s">
        <v>27</v>
      </c>
      <c r="C28" s="3">
        <v>1229.2</v>
      </c>
      <c r="D28" s="3">
        <v>1339</v>
      </c>
      <c r="E28" s="3">
        <v>462</v>
      </c>
      <c r="F28" s="3">
        <v>210.7</v>
      </c>
      <c r="G28" s="3">
        <v>-3.3</v>
      </c>
      <c r="H28" s="3">
        <v>3237.6</v>
      </c>
    </row>
    <row r="29" spans="2:8" ht="15" customHeight="1">
      <c r="B29" s="6" t="s">
        <v>28</v>
      </c>
      <c r="C29" s="3">
        <v>1194.9000000000001</v>
      </c>
      <c r="D29" s="3">
        <v>1262.7</v>
      </c>
      <c r="E29" s="3">
        <v>466.2</v>
      </c>
      <c r="F29" s="3">
        <v>203.5</v>
      </c>
      <c r="G29" s="3">
        <v>-4.5999999999999996</v>
      </c>
      <c r="H29" s="3">
        <v>3122.7</v>
      </c>
    </row>
    <row r="30" spans="2:8" ht="15" customHeight="1">
      <c r="B30" s="6" t="s">
        <v>29</v>
      </c>
      <c r="C30" s="3">
        <v>1228.3</v>
      </c>
      <c r="D30" s="3">
        <v>1306.7</v>
      </c>
      <c r="E30" s="3">
        <v>490</v>
      </c>
      <c r="F30" s="3">
        <v>200.9</v>
      </c>
      <c r="G30" s="3">
        <v>-4.7</v>
      </c>
      <c r="H30" s="3">
        <v>3221.2</v>
      </c>
    </row>
    <row r="31" spans="2:8" ht="15" customHeight="1">
      <c r="B31" s="6" t="s">
        <v>30</v>
      </c>
      <c r="C31" s="3">
        <v>1334.2</v>
      </c>
      <c r="D31" s="3">
        <v>1306.5999999999999</v>
      </c>
      <c r="E31" s="3">
        <v>523.29999999999995</v>
      </c>
      <c r="F31" s="3">
        <v>212.9</v>
      </c>
      <c r="G31" s="3">
        <v>-6.3</v>
      </c>
      <c r="H31" s="3">
        <v>3370.7</v>
      </c>
    </row>
    <row r="32" spans="2:8" ht="15" customHeight="1">
      <c r="B32" s="6" t="s">
        <v>31</v>
      </c>
      <c r="C32" s="3">
        <v>1316.4</v>
      </c>
      <c r="D32" s="3">
        <v>1304.9000000000001</v>
      </c>
      <c r="E32" s="3">
        <v>570.70000000000005</v>
      </c>
      <c r="F32" s="3">
        <v>214.9</v>
      </c>
      <c r="G32" s="3">
        <v>-4.4000000000000004</v>
      </c>
      <c r="H32" s="3">
        <v>3402.5</v>
      </c>
    </row>
    <row r="33" spans="2:8" ht="15" customHeight="1">
      <c r="B33" s="6" t="s">
        <v>32</v>
      </c>
      <c r="C33" s="3">
        <v>1401.5</v>
      </c>
      <c r="D33" s="3">
        <v>1315.8</v>
      </c>
      <c r="E33" s="3">
        <v>588.4</v>
      </c>
      <c r="F33" s="3">
        <v>214.5</v>
      </c>
      <c r="G33" s="3">
        <v>-5.8</v>
      </c>
      <c r="H33" s="3">
        <v>3514.4</v>
      </c>
    </row>
    <row r="34" spans="2:8" ht="15" customHeight="1">
      <c r="B34" s="6" t="s">
        <v>33</v>
      </c>
      <c r="C34" s="3">
        <v>1430.7</v>
      </c>
      <c r="D34" s="3">
        <v>1369.3</v>
      </c>
      <c r="E34" s="3">
        <v>610.5</v>
      </c>
      <c r="F34" s="3">
        <v>218.4</v>
      </c>
      <c r="G34" s="3">
        <v>-5.9</v>
      </c>
      <c r="H34" s="3">
        <v>3623</v>
      </c>
    </row>
    <row r="35" spans="2:8" ht="15" customHeight="1">
      <c r="B35" s="6" t="s">
        <v>34</v>
      </c>
      <c r="C35" s="3">
        <v>1548.4</v>
      </c>
      <c r="D35" s="3">
        <v>1433.2</v>
      </c>
      <c r="E35" s="3">
        <v>627.79999999999995</v>
      </c>
      <c r="F35" s="3">
        <v>228.7</v>
      </c>
      <c r="G35" s="3">
        <v>-5.4</v>
      </c>
      <c r="H35" s="3">
        <v>3832.7</v>
      </c>
    </row>
    <row r="36" spans="2:8" ht="15" customHeight="1">
      <c r="B36" s="6" t="s">
        <v>35</v>
      </c>
      <c r="C36" s="3">
        <v>1576.1</v>
      </c>
      <c r="D36" s="3">
        <v>1452.7</v>
      </c>
      <c r="E36" s="3">
        <v>688.1</v>
      </c>
      <c r="F36" s="3">
        <v>233</v>
      </c>
      <c r="G36" s="3">
        <v>-4</v>
      </c>
      <c r="H36" s="3">
        <v>3945.9</v>
      </c>
    </row>
    <row r="37" spans="2:8" ht="15" customHeight="1">
      <c r="B37" s="6" t="s">
        <v>36</v>
      </c>
      <c r="C37" s="3">
        <v>1623.2</v>
      </c>
      <c r="D37" s="3">
        <v>1440.9</v>
      </c>
      <c r="E37" s="3">
        <v>655.4</v>
      </c>
      <c r="F37" s="3">
        <v>236.3</v>
      </c>
      <c r="G37" s="3">
        <v>-5.9</v>
      </c>
      <c r="H37" s="3">
        <v>3949.9</v>
      </c>
    </row>
    <row r="38" spans="2:8" ht="15" customHeight="1">
      <c r="B38" s="6" t="s">
        <v>37</v>
      </c>
      <c r="C38" s="3">
        <v>1640.3</v>
      </c>
      <c r="D38" s="3">
        <v>1444.5</v>
      </c>
      <c r="E38" s="3">
        <v>678.6</v>
      </c>
      <c r="F38" s="3">
        <v>221.9</v>
      </c>
      <c r="G38" s="3">
        <v>-2.6</v>
      </c>
      <c r="H38" s="3">
        <v>3982.7</v>
      </c>
    </row>
    <row r="39" spans="2:8" ht="15" customHeight="1">
      <c r="B39" s="6" t="s">
        <v>38</v>
      </c>
      <c r="C39" s="3">
        <v>1642.6</v>
      </c>
      <c r="D39" s="3">
        <v>1491.7</v>
      </c>
      <c r="E39" s="3">
        <v>707</v>
      </c>
      <c r="F39" s="3">
        <v>243.8</v>
      </c>
      <c r="G39" s="3">
        <v>-3.3</v>
      </c>
      <c r="H39" s="3">
        <v>4081.8</v>
      </c>
    </row>
    <row r="40" spans="2:8" ht="15" customHeight="1">
      <c r="B40" s="6" t="s">
        <v>39</v>
      </c>
      <c r="C40" s="3">
        <v>1661.4</v>
      </c>
      <c r="D40" s="3">
        <v>1532.5</v>
      </c>
      <c r="E40" s="3">
        <v>736.8</v>
      </c>
      <c r="F40" s="3">
        <v>252.3</v>
      </c>
      <c r="G40" s="3">
        <v>-1.1000000000000001</v>
      </c>
      <c r="H40" s="3">
        <v>4181.8999999999996</v>
      </c>
    </row>
    <row r="41" spans="2:8" ht="15" customHeight="1">
      <c r="B41" s="6" t="s">
        <v>40</v>
      </c>
      <c r="C41" s="3">
        <v>1710.1</v>
      </c>
      <c r="D41" s="3">
        <v>1606.3</v>
      </c>
      <c r="E41" s="3">
        <v>793.1</v>
      </c>
      <c r="F41" s="3">
        <v>258.8</v>
      </c>
      <c r="G41" s="3">
        <v>-2.9</v>
      </c>
      <c r="H41" s="3">
        <v>4365.3999999999996</v>
      </c>
    </row>
    <row r="42" spans="2:8" ht="15" customHeight="1">
      <c r="B42" s="6" t="s">
        <v>41</v>
      </c>
      <c r="C42" s="3">
        <v>1775.9</v>
      </c>
      <c r="D42" s="3">
        <v>1663.9</v>
      </c>
      <c r="E42" s="3">
        <v>797</v>
      </c>
      <c r="F42" s="3">
        <v>267.2</v>
      </c>
      <c r="G42" s="3">
        <v>1.5</v>
      </c>
      <c r="H42" s="3">
        <v>4505.5</v>
      </c>
    </row>
    <row r="43" spans="2:8" ht="15" customHeight="1">
      <c r="B43" s="6" t="s">
        <v>42</v>
      </c>
      <c r="C43" s="3">
        <v>1852.6</v>
      </c>
      <c r="D43" s="3">
        <v>1660.6</v>
      </c>
      <c r="E43" s="3">
        <v>818.4</v>
      </c>
      <c r="F43" s="3">
        <v>280.10000000000002</v>
      </c>
      <c r="G43" s="3">
        <v>-0.6</v>
      </c>
      <c r="H43" s="3">
        <v>4611.1000000000004</v>
      </c>
    </row>
    <row r="44" spans="2:8" ht="15" customHeight="1">
      <c r="B44" s="6" t="s">
        <v>43</v>
      </c>
      <c r="C44" s="3">
        <v>1959.5</v>
      </c>
      <c r="D44" s="3">
        <v>1680.1</v>
      </c>
      <c r="E44" s="3">
        <v>859.3</v>
      </c>
      <c r="F44" s="3">
        <v>278.2</v>
      </c>
      <c r="G44" s="3">
        <v>0.5</v>
      </c>
      <c r="H44" s="3">
        <v>4777.6000000000004</v>
      </c>
    </row>
    <row r="45" spans="2:8" ht="15" customHeight="1">
      <c r="B45" s="6" t="s">
        <v>44</v>
      </c>
      <c r="C45" s="3">
        <v>2022.7</v>
      </c>
      <c r="D45" s="3">
        <v>1698.2</v>
      </c>
      <c r="E45" s="3">
        <v>887.4</v>
      </c>
      <c r="F45" s="3">
        <v>278.3</v>
      </c>
      <c r="G45" s="3">
        <v>-1.9</v>
      </c>
      <c r="H45" s="3">
        <v>4884.7</v>
      </c>
    </row>
    <row r="46" spans="2:8" ht="15" customHeight="1">
      <c r="B46" s="6" t="s">
        <v>45</v>
      </c>
      <c r="C46" s="3">
        <v>2052.5</v>
      </c>
      <c r="D46" s="3">
        <v>1722.9</v>
      </c>
      <c r="E46" s="3">
        <v>921.5</v>
      </c>
      <c r="F46" s="3">
        <v>274.10000000000002</v>
      </c>
      <c r="G46" s="3">
        <v>0</v>
      </c>
      <c r="H46" s="3">
        <v>4971</v>
      </c>
    </row>
    <row r="47" spans="2:8" ht="15" customHeight="1">
      <c r="B47" s="6" t="s">
        <v>46</v>
      </c>
      <c r="C47" s="3">
        <v>2081.5</v>
      </c>
      <c r="D47" s="3">
        <v>1701.5</v>
      </c>
      <c r="E47" s="3">
        <v>959.9</v>
      </c>
      <c r="F47" s="3">
        <v>268.89999999999998</v>
      </c>
      <c r="G47" s="3">
        <v>0</v>
      </c>
      <c r="H47" s="3">
        <v>5011.8</v>
      </c>
    </row>
    <row r="48" spans="2:8" ht="15" customHeight="1">
      <c r="B48" s="6" t="s">
        <v>47</v>
      </c>
      <c r="C48" s="3">
        <v>2127.8000000000002</v>
      </c>
      <c r="D48" s="3">
        <v>1750</v>
      </c>
      <c r="E48" s="3">
        <v>974.7</v>
      </c>
      <c r="F48" s="3">
        <v>244.5</v>
      </c>
      <c r="G48" s="3">
        <v>0</v>
      </c>
      <c r="H48" s="3">
        <v>5097</v>
      </c>
    </row>
    <row r="49" spans="2:8" ht="15" customHeight="1">
      <c r="B49" s="6" t="s">
        <v>48</v>
      </c>
      <c r="C49" s="3">
        <v>2118.6790000000001</v>
      </c>
      <c r="D49" s="3">
        <v>1801.856</v>
      </c>
      <c r="E49" s="3">
        <v>942.13300000000004</v>
      </c>
      <c r="F49" s="3">
        <v>214.41</v>
      </c>
      <c r="G49" s="3">
        <v>61.597000000000001</v>
      </c>
      <c r="H49" s="3">
        <v>5138.674</v>
      </c>
    </row>
    <row r="50" spans="2:8" ht="15" customHeight="1">
      <c r="B50" s="6" t="s">
        <v>49</v>
      </c>
      <c r="C50" s="3">
        <v>2221.6930000000002</v>
      </c>
      <c r="D50" s="3">
        <v>1810.489</v>
      </c>
      <c r="E50" s="3">
        <v>973.98500000000001</v>
      </c>
      <c r="F50" s="3">
        <v>217.52199999999999</v>
      </c>
      <c r="G50" s="3">
        <v>61.039000000000001</v>
      </c>
      <c r="H50" s="3">
        <v>5284.7269999999999</v>
      </c>
    </row>
    <row r="51" spans="2:8" ht="15" customHeight="1">
      <c r="B51" s="6" t="s">
        <v>50</v>
      </c>
      <c r="C51" s="3">
        <v>2254.5250000000001</v>
      </c>
      <c r="D51" s="3">
        <v>1869.0260000000001</v>
      </c>
      <c r="E51" s="3">
        <v>996.44200000000001</v>
      </c>
      <c r="F51" s="3">
        <v>220.54400000000001</v>
      </c>
      <c r="G51" s="3">
        <v>58.662999999999997</v>
      </c>
      <c r="H51" s="3">
        <v>5399.2</v>
      </c>
    </row>
    <row r="52" spans="2:8" ht="15" customHeight="1">
      <c r="B52" s="6" t="s">
        <v>51</v>
      </c>
      <c r="C52" s="3">
        <v>2292.6590000000001</v>
      </c>
      <c r="D52" s="3">
        <v>1969.749</v>
      </c>
      <c r="E52" s="3">
        <v>1000.854</v>
      </c>
      <c r="F52" s="3">
        <v>220.292</v>
      </c>
      <c r="G52" s="3">
        <v>63.188000000000002</v>
      </c>
      <c r="H52" s="3">
        <v>5546.7420000000002</v>
      </c>
    </row>
    <row r="53" spans="2:8" ht="15" customHeight="1">
      <c r="B53" s="6" t="s">
        <v>52</v>
      </c>
      <c r="C53" s="3">
        <v>2316.59</v>
      </c>
      <c r="D53" s="3">
        <v>1988.299</v>
      </c>
      <c r="E53" s="3">
        <v>1131.9090000000001</v>
      </c>
      <c r="F53" s="3">
        <v>226.245</v>
      </c>
      <c r="G53" s="3">
        <v>60.947000000000003</v>
      </c>
      <c r="H53" s="3">
        <v>5723.99</v>
      </c>
    </row>
    <row r="54" spans="2:8" ht="15" customHeight="1">
      <c r="B54" s="6" t="s">
        <v>53</v>
      </c>
      <c r="C54" s="3">
        <v>2300.1779999999999</v>
      </c>
      <c r="D54" s="3">
        <v>1984.0719999999999</v>
      </c>
      <c r="E54" s="3">
        <v>1168.703</v>
      </c>
      <c r="F54" s="3">
        <v>231.44900000000001</v>
      </c>
      <c r="G54" s="3">
        <v>53.927999999999997</v>
      </c>
      <c r="H54" s="3">
        <v>5738.33</v>
      </c>
    </row>
    <row r="55" spans="2:8" ht="15" customHeight="1">
      <c r="B55" s="6" t="s">
        <v>54</v>
      </c>
      <c r="C55" s="3">
        <v>2351.0300000000002</v>
      </c>
      <c r="D55" s="3">
        <v>2000.72</v>
      </c>
      <c r="E55" s="3">
        <v>1252.8720000000001</v>
      </c>
      <c r="F55" s="3">
        <v>239.941</v>
      </c>
      <c r="G55" s="3">
        <v>-0.33</v>
      </c>
      <c r="H55" s="3">
        <v>5844.2330000000002</v>
      </c>
    </row>
    <row r="56" spans="2:8" ht="15" customHeight="1">
      <c r="B56" s="6" t="s">
        <v>55</v>
      </c>
      <c r="C56" s="3">
        <v>2224.7510000000002</v>
      </c>
      <c r="D56" s="3">
        <v>2057.962</v>
      </c>
      <c r="E56" s="3">
        <v>1257.8340000000001</v>
      </c>
      <c r="F56" s="3">
        <v>282.62599999999998</v>
      </c>
      <c r="G56" s="3">
        <v>0.63</v>
      </c>
      <c r="H56" s="3">
        <v>5823.8029999999999</v>
      </c>
    </row>
    <row r="57" spans="2:8" ht="15" customHeight="1">
      <c r="B57" s="6" t="s">
        <v>56</v>
      </c>
      <c r="C57" s="3">
        <v>2123.9070000000002</v>
      </c>
      <c r="D57" s="3">
        <v>2211.9839999999999</v>
      </c>
      <c r="E57" s="3">
        <v>1274.2070000000001</v>
      </c>
      <c r="F57" s="3">
        <v>294.58</v>
      </c>
      <c r="G57" s="3">
        <v>-1.79</v>
      </c>
      <c r="H57" s="3">
        <v>5902.8890000000001</v>
      </c>
    </row>
    <row r="58" spans="2:8" ht="15" customHeight="1">
      <c r="B58" s="6" t="s">
        <v>57</v>
      </c>
      <c r="C58" s="3">
        <v>2074.6660000000002</v>
      </c>
      <c r="D58" s="3">
        <v>2184.1550000000002</v>
      </c>
      <c r="E58" s="3">
        <v>1338.5440000000001</v>
      </c>
      <c r="F58" s="3">
        <v>293.827</v>
      </c>
      <c r="G58" s="3">
        <v>-2.766</v>
      </c>
      <c r="H58" s="3">
        <v>5888.4269999999997</v>
      </c>
    </row>
    <row r="59" spans="2:8" ht="15" customHeight="1">
      <c r="B59" s="6" t="s">
        <v>58</v>
      </c>
      <c r="C59" s="3">
        <v>1930.905</v>
      </c>
      <c r="D59" s="3">
        <v>2278.5189999999998</v>
      </c>
      <c r="E59" s="3">
        <v>1376.47</v>
      </c>
      <c r="F59" s="3">
        <v>333.541</v>
      </c>
      <c r="G59" s="3">
        <v>-2.137</v>
      </c>
      <c r="H59" s="3">
        <v>5917.2969999999996</v>
      </c>
    </row>
    <row r="60" spans="2:8" ht="15" customHeight="1">
      <c r="B60" s="6" t="s">
        <v>59</v>
      </c>
      <c r="C60" s="3">
        <v>1845.7650000000001</v>
      </c>
      <c r="D60" s="3">
        <v>2297.5239999999999</v>
      </c>
      <c r="E60" s="3">
        <v>1383.7560000000001</v>
      </c>
      <c r="F60" s="3">
        <v>344.24599999999998</v>
      </c>
      <c r="G60" s="3">
        <v>0</v>
      </c>
      <c r="H60" s="3">
        <v>5871.2920000000004</v>
      </c>
    </row>
    <row r="61" spans="2:8" ht="15" customHeight="1">
      <c r="B61" s="6" t="s">
        <v>60</v>
      </c>
      <c r="C61" s="3">
        <v>1907.162</v>
      </c>
      <c r="D61" s="3">
        <v>2237.0450000000001</v>
      </c>
      <c r="E61" s="3">
        <v>1406.951</v>
      </c>
      <c r="F61" s="3">
        <v>347.666</v>
      </c>
      <c r="G61" s="3">
        <v>-6.0000000000000001E-3</v>
      </c>
      <c r="H61" s="3">
        <v>5898.817</v>
      </c>
    </row>
    <row r="62" spans="2:8" ht="15" customHeight="1">
      <c r="B62" s="6" t="s">
        <v>61</v>
      </c>
      <c r="C62" s="3">
        <v>1954.8779999999999</v>
      </c>
      <c r="D62" s="3">
        <v>2279.8180000000002</v>
      </c>
      <c r="E62" s="3">
        <v>1440.327</v>
      </c>
      <c r="F62" s="3">
        <v>360.18700000000001</v>
      </c>
      <c r="G62" s="3">
        <v>-6.0000000000000001E-3</v>
      </c>
      <c r="H62" s="3">
        <v>6035.2039999999997</v>
      </c>
    </row>
    <row r="63" spans="2:8" ht="15" customHeight="1">
      <c r="B63" s="6" t="s">
        <v>62</v>
      </c>
      <c r="C63" s="3">
        <v>1930.0309999999999</v>
      </c>
      <c r="D63" s="3">
        <v>2318.366</v>
      </c>
      <c r="E63" s="3">
        <v>1477.62</v>
      </c>
      <c r="F63" s="3">
        <v>379.07799999999997</v>
      </c>
      <c r="G63" s="3">
        <v>-9.0999999999999998E-2</v>
      </c>
      <c r="H63" s="3">
        <v>6105.0039999999999</v>
      </c>
    </row>
    <row r="64" spans="2:8" ht="15" customHeight="1">
      <c r="B64" s="6" t="s">
        <v>63</v>
      </c>
      <c r="C64" s="3">
        <v>1847.29</v>
      </c>
      <c r="D64" s="3">
        <v>2404.4960000000001</v>
      </c>
      <c r="E64" s="3">
        <v>1534.393</v>
      </c>
      <c r="F64" s="3">
        <v>382.45299999999997</v>
      </c>
      <c r="G64" s="3">
        <v>-9.8000000000000004E-2</v>
      </c>
      <c r="H64" s="3">
        <v>6168.5339999999997</v>
      </c>
    </row>
    <row r="65" spans="2:8" ht="15" customHeight="1">
      <c r="B65" s="6" t="s">
        <v>64</v>
      </c>
      <c r="C65" s="3">
        <v>1801.7460000000001</v>
      </c>
      <c r="D65" s="3">
        <v>2435.3330000000001</v>
      </c>
      <c r="E65" s="3">
        <v>1561.924</v>
      </c>
      <c r="F65" s="3">
        <v>400.19400000000002</v>
      </c>
      <c r="G65" s="3">
        <v>0</v>
      </c>
      <c r="H65" s="3">
        <v>6199.1970000000001</v>
      </c>
    </row>
    <row r="66" spans="2:8" ht="15" customHeight="1">
      <c r="B66" s="6" t="s">
        <v>65</v>
      </c>
      <c r="C66" s="3">
        <v>1706.7360000000001</v>
      </c>
      <c r="D66" s="3">
        <v>2283.3589999999999</v>
      </c>
      <c r="E66" s="3">
        <v>1623.7850000000001</v>
      </c>
      <c r="F66" s="3">
        <v>418.75799999999998</v>
      </c>
      <c r="G66" s="3">
        <v>0</v>
      </c>
      <c r="H66" s="3">
        <v>6032.6379999999999</v>
      </c>
    </row>
    <row r="67" spans="2:8" ht="15" customHeight="1">
      <c r="B67" s="6" t="s">
        <v>66</v>
      </c>
      <c r="C67" s="3">
        <v>1661.3579999999999</v>
      </c>
      <c r="D67" s="3">
        <v>2097.6320000000001</v>
      </c>
      <c r="E67" s="3">
        <v>1561.075</v>
      </c>
      <c r="F67" s="3">
        <v>464.63</v>
      </c>
      <c r="G67" s="3">
        <v>-0.01</v>
      </c>
      <c r="H67" s="3">
        <v>5784.6840000000002</v>
      </c>
    </row>
    <row r="68" spans="2:8" ht="15" customHeight="1">
      <c r="B68" s="6" t="s">
        <v>67</v>
      </c>
      <c r="C68" s="3">
        <v>1586.7550000000001</v>
      </c>
      <c r="D68" s="3">
        <v>2172.4459999999999</v>
      </c>
      <c r="E68" s="3">
        <v>1559.345</v>
      </c>
      <c r="F68" s="3">
        <v>512.01800000000003</v>
      </c>
      <c r="G68" s="3">
        <v>-8.5999999999999993E-2</v>
      </c>
      <c r="H68" s="3">
        <v>5830.4780000000001</v>
      </c>
    </row>
    <row r="69" spans="2:8" ht="15" customHeight="1">
      <c r="B69" s="6" t="s">
        <v>68</v>
      </c>
      <c r="C69" s="3">
        <v>1525.029</v>
      </c>
      <c r="D69" s="3">
        <v>2354.895</v>
      </c>
      <c r="E69" s="3">
        <v>1518.1279999999999</v>
      </c>
      <c r="F69" s="3">
        <v>551.66300000000001</v>
      </c>
      <c r="G69" s="3">
        <v>1.2E-2</v>
      </c>
      <c r="H69" s="3">
        <v>5949.7269999999999</v>
      </c>
    </row>
    <row r="70" spans="2:8" ht="15" customHeight="1">
      <c r="B70" s="7" t="s">
        <v>69</v>
      </c>
      <c r="C70" s="4">
        <v>1510.356</v>
      </c>
      <c r="D70" s="4">
        <v>2431.5529999999999</v>
      </c>
      <c r="E70" s="4">
        <v>1477.7439999999999</v>
      </c>
      <c r="F70" s="4">
        <v>557.10900000000004</v>
      </c>
      <c r="G70" s="4">
        <v>-0.106</v>
      </c>
      <c r="H70" s="4">
        <v>5976.6559999999999</v>
      </c>
    </row>
    <row r="71" spans="2:8" ht="15" customHeight="1">
      <c r="B71" s="10"/>
    </row>
    <row r="72" spans="2:8" ht="15" customHeight="1">
      <c r="B72" s="10" t="s">
        <v>88</v>
      </c>
    </row>
    <row r="73" spans="2:8" ht="15" customHeight="1">
      <c r="B73" s="11" t="s">
        <v>91</v>
      </c>
    </row>
    <row r="74" spans="2:8" ht="15" customHeight="1">
      <c r="B74" s="12" t="s">
        <v>92</v>
      </c>
    </row>
    <row r="75" spans="2:8" ht="15" customHeight="1">
      <c r="B75" s="13" t="s">
        <v>93</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28"/>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ColWidth="11.5" defaultRowHeight="15"/>
  <cols>
    <col min="1" max="1" width="2.83203125" customWidth="1"/>
    <col min="2" max="2" width="9.6640625" customWidth="1"/>
    <col min="3" max="5" width="12.83203125" customWidth="1"/>
    <col min="6" max="6" width="14.5" customWidth="1"/>
    <col min="7" max="7" width="16.33203125" customWidth="1"/>
    <col min="8" max="8" width="12.83203125" customWidth="1"/>
  </cols>
  <sheetData>
    <row r="1" spans="2:8" ht="15" customHeight="1"/>
    <row r="2" spans="2:8" ht="18" customHeight="1">
      <c r="B2" s="9" t="s">
        <v>72</v>
      </c>
    </row>
    <row r="3" spans="2:8" ht="18" customHeight="1">
      <c r="B3" s="9" t="s">
        <v>94</v>
      </c>
    </row>
    <row r="4" spans="2:8" ht="15" customHeight="1"/>
    <row r="5" spans="2:8" ht="30" customHeight="1">
      <c r="B5" s="1"/>
      <c r="C5" s="5" t="s">
        <v>0</v>
      </c>
      <c r="D5" s="5" t="s">
        <v>1</v>
      </c>
      <c r="E5" s="5" t="s">
        <v>2</v>
      </c>
      <c r="F5" s="5" t="s">
        <v>3</v>
      </c>
      <c r="G5" s="5" t="s">
        <v>90</v>
      </c>
      <c r="H5" s="5" t="s">
        <v>4</v>
      </c>
    </row>
    <row r="6" spans="2:8" ht="15" customHeight="1">
      <c r="B6" s="2"/>
      <c r="C6" s="8" t="s">
        <v>70</v>
      </c>
      <c r="D6" s="8" t="s">
        <v>70</v>
      </c>
      <c r="E6" s="8" t="s">
        <v>70</v>
      </c>
      <c r="F6" s="8" t="s">
        <v>70</v>
      </c>
      <c r="G6" s="8" t="s">
        <v>70</v>
      </c>
      <c r="H6" s="8" t="s">
        <v>70</v>
      </c>
    </row>
    <row r="7" spans="2:8" ht="15" customHeight="1">
      <c r="B7" s="6" t="s">
        <v>54</v>
      </c>
      <c r="C7" s="3">
        <v>800.91200000000003</v>
      </c>
      <c r="D7" s="3">
        <v>587.46199999999999</v>
      </c>
      <c r="E7" s="3">
        <v>131.649</v>
      </c>
      <c r="F7" s="3">
        <v>54.707999999999998</v>
      </c>
      <c r="G7" s="3">
        <v>18.806999999999999</v>
      </c>
      <c r="H7" s="3">
        <v>1593.538</v>
      </c>
    </row>
    <row r="8" spans="2:8" ht="15" customHeight="1">
      <c r="B8" s="6" t="s">
        <v>55</v>
      </c>
      <c r="C8" s="3">
        <v>771.822</v>
      </c>
      <c r="D8" s="3">
        <v>638.86500000000001</v>
      </c>
      <c r="E8" s="3">
        <v>148.72800000000001</v>
      </c>
      <c r="F8" s="3">
        <v>63.756999999999998</v>
      </c>
      <c r="G8" s="3">
        <v>22.116</v>
      </c>
      <c r="H8" s="3">
        <v>1645.288</v>
      </c>
    </row>
    <row r="9" spans="2:8" ht="15" customHeight="1">
      <c r="B9" s="6" t="s">
        <v>56</v>
      </c>
      <c r="C9" s="3">
        <v>732.23800000000006</v>
      </c>
      <c r="D9" s="3">
        <v>684.98</v>
      </c>
      <c r="E9" s="3">
        <v>146.54400000000001</v>
      </c>
      <c r="F9" s="3">
        <v>68.593000000000004</v>
      </c>
      <c r="G9" s="3">
        <v>35.67</v>
      </c>
      <c r="H9" s="3">
        <v>1668.0250000000001</v>
      </c>
    </row>
    <row r="10" spans="2:8" ht="15" customHeight="1">
      <c r="B10" s="6" t="s">
        <v>57</v>
      </c>
      <c r="C10" s="3">
        <v>692.71900000000005</v>
      </c>
      <c r="D10" s="3">
        <v>687.36900000000003</v>
      </c>
      <c r="E10" s="3">
        <v>142.148</v>
      </c>
      <c r="F10" s="3">
        <v>71.058000000000007</v>
      </c>
      <c r="G10" s="3">
        <v>28.009</v>
      </c>
      <c r="H10" s="3">
        <v>1621.3050000000001</v>
      </c>
    </row>
    <row r="11" spans="2:8" ht="15" customHeight="1">
      <c r="B11" s="6" t="s">
        <v>58</v>
      </c>
      <c r="C11" s="3">
        <v>642.97900000000004</v>
      </c>
      <c r="D11" s="3">
        <v>677.41200000000003</v>
      </c>
      <c r="E11" s="3">
        <v>157.35499999999999</v>
      </c>
      <c r="F11" s="3">
        <v>70.888999999999996</v>
      </c>
      <c r="G11" s="3">
        <v>19.791</v>
      </c>
      <c r="H11" s="3">
        <v>1568.4269999999999</v>
      </c>
    </row>
    <row r="12" spans="2:8" ht="15" customHeight="1">
      <c r="B12" s="6" t="s">
        <v>59</v>
      </c>
      <c r="C12" s="3">
        <v>603.52200000000005</v>
      </c>
      <c r="D12" s="3">
        <v>666.56100000000004</v>
      </c>
      <c r="E12" s="3">
        <v>166.98599999999999</v>
      </c>
      <c r="F12" s="3">
        <v>72.762</v>
      </c>
      <c r="G12" s="3">
        <v>16.707000000000001</v>
      </c>
      <c r="H12" s="3">
        <v>1526.538</v>
      </c>
    </row>
    <row r="13" spans="2:8" ht="15" customHeight="1">
      <c r="B13" s="6" t="s">
        <v>60</v>
      </c>
      <c r="C13" s="3">
        <v>587.81100000000004</v>
      </c>
      <c r="D13" s="3">
        <v>621.43799999999999</v>
      </c>
      <c r="E13" s="3">
        <v>163.47999999999999</v>
      </c>
      <c r="F13" s="3">
        <v>70.998000000000005</v>
      </c>
      <c r="G13" s="3">
        <v>35.11</v>
      </c>
      <c r="H13" s="3">
        <v>1478.836</v>
      </c>
    </row>
    <row r="14" spans="2:8" ht="15" customHeight="1">
      <c r="B14" s="6" t="s">
        <v>61</v>
      </c>
      <c r="C14" s="3">
        <v>620.928</v>
      </c>
      <c r="D14" s="3">
        <v>633.63300000000004</v>
      </c>
      <c r="E14" s="3">
        <v>164.803</v>
      </c>
      <c r="F14" s="3">
        <v>82.430999999999997</v>
      </c>
      <c r="G14" s="3">
        <v>22.460999999999999</v>
      </c>
      <c r="H14" s="3">
        <v>1524.2560000000001</v>
      </c>
    </row>
    <row r="15" spans="2:8" ht="15" customHeight="1">
      <c r="B15" s="6" t="s">
        <v>62</v>
      </c>
      <c r="C15" s="3">
        <v>625.93700000000001</v>
      </c>
      <c r="D15" s="3">
        <v>652.59500000000003</v>
      </c>
      <c r="E15" s="3">
        <v>143.63999999999999</v>
      </c>
      <c r="F15" s="3">
        <v>84.453000000000003</v>
      </c>
      <c r="G15" s="3">
        <v>26.423999999999999</v>
      </c>
      <c r="H15" s="3">
        <v>1533.049</v>
      </c>
    </row>
    <row r="16" spans="2:8" ht="15" customHeight="1">
      <c r="B16" s="6" t="s">
        <v>63</v>
      </c>
      <c r="C16" s="3">
        <v>636.71100000000001</v>
      </c>
      <c r="D16" s="3">
        <v>672.42700000000002</v>
      </c>
      <c r="E16" s="3">
        <v>144.05799999999999</v>
      </c>
      <c r="F16" s="3">
        <v>86.6</v>
      </c>
      <c r="G16" s="3">
        <v>24.876000000000001</v>
      </c>
      <c r="H16" s="3">
        <v>1564.673</v>
      </c>
    </row>
    <row r="17" spans="2:8" ht="15" customHeight="1">
      <c r="B17" s="6" t="s">
        <v>64</v>
      </c>
      <c r="C17" s="3">
        <v>640.327</v>
      </c>
      <c r="D17" s="3">
        <v>668.30200000000002</v>
      </c>
      <c r="E17" s="3">
        <v>139.22399999999999</v>
      </c>
      <c r="F17" s="3">
        <v>90.366</v>
      </c>
      <c r="G17" s="3">
        <v>20.675000000000001</v>
      </c>
      <c r="H17" s="3">
        <v>1558.894</v>
      </c>
    </row>
    <row r="18" spans="2:8" ht="15" customHeight="1">
      <c r="B18" s="6" t="s">
        <v>65</v>
      </c>
      <c r="C18" s="3">
        <v>606.64400000000001</v>
      </c>
      <c r="D18" s="3">
        <v>621.26900000000001</v>
      </c>
      <c r="E18" s="3">
        <v>141.88800000000001</v>
      </c>
      <c r="F18" s="3">
        <v>95.63</v>
      </c>
      <c r="G18" s="3">
        <v>22.254999999999999</v>
      </c>
      <c r="H18" s="3">
        <v>1487.6859999999999</v>
      </c>
    </row>
    <row r="19" spans="2:8" ht="15" customHeight="1">
      <c r="B19" s="6" t="s">
        <v>66</v>
      </c>
      <c r="C19" s="3">
        <v>579.75599999999997</v>
      </c>
      <c r="D19" s="3">
        <v>555.33900000000006</v>
      </c>
      <c r="E19" s="3">
        <v>135.833</v>
      </c>
      <c r="F19" s="3">
        <v>110.572</v>
      </c>
      <c r="G19" s="3">
        <v>19.452999999999999</v>
      </c>
      <c r="H19" s="3">
        <v>1400.952</v>
      </c>
    </row>
    <row r="20" spans="2:8" ht="15" customHeight="1">
      <c r="B20" s="6" t="s">
        <v>67</v>
      </c>
      <c r="C20" s="3">
        <v>534.61599999999999</v>
      </c>
      <c r="D20" s="3">
        <v>560.52700000000004</v>
      </c>
      <c r="E20" s="3">
        <v>145.27099999999999</v>
      </c>
      <c r="F20" s="3">
        <v>125.05500000000001</v>
      </c>
      <c r="G20" s="3">
        <v>21.925000000000001</v>
      </c>
      <c r="H20" s="3">
        <v>1387.394</v>
      </c>
    </row>
    <row r="21" spans="2:8" ht="15" customHeight="1">
      <c r="B21" s="6" t="s">
        <v>68</v>
      </c>
      <c r="C21" s="3">
        <v>525.44399999999996</v>
      </c>
      <c r="D21" s="3">
        <v>638.35599999999999</v>
      </c>
      <c r="E21" s="3">
        <v>134.31800000000001</v>
      </c>
      <c r="F21" s="3">
        <v>137.684</v>
      </c>
      <c r="G21" s="3">
        <v>18.172999999999998</v>
      </c>
      <c r="H21" s="3">
        <v>1453.9760000000001</v>
      </c>
    </row>
    <row r="22" spans="2:8" ht="15" customHeight="1">
      <c r="B22" s="7" t="s">
        <v>69</v>
      </c>
      <c r="C22" s="4">
        <v>501.57100000000003</v>
      </c>
      <c r="D22" s="4">
        <v>665.822</v>
      </c>
      <c r="E22" s="4">
        <v>118.39700000000001</v>
      </c>
      <c r="F22" s="4">
        <v>143.636</v>
      </c>
      <c r="G22" s="4">
        <v>18.428999999999998</v>
      </c>
      <c r="H22" s="4">
        <v>1447.855</v>
      </c>
    </row>
    <row r="23" spans="2:8" ht="15" customHeight="1">
      <c r="B23" s="10"/>
    </row>
    <row r="24" spans="2:8" ht="15" customHeight="1">
      <c r="B24" s="10" t="s">
        <v>88</v>
      </c>
    </row>
    <row r="25" spans="2:8" ht="15" customHeight="1">
      <c r="B25" s="11" t="s">
        <v>91</v>
      </c>
    </row>
    <row r="26" spans="2:8" ht="15" customHeight="1">
      <c r="B26" s="12" t="s">
        <v>97</v>
      </c>
    </row>
    <row r="27" spans="2:8" ht="15" customHeight="1">
      <c r="B27" s="13" t="s">
        <v>95</v>
      </c>
    </row>
    <row r="28" spans="2:8" ht="15" customHeight="1">
      <c r="B28" s="14" t="s">
        <v>96</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27"/>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ColWidth="11.5" defaultRowHeight="15"/>
  <cols>
    <col min="1" max="1" width="2.83203125" customWidth="1"/>
    <col min="2" max="2" width="9.6640625" customWidth="1"/>
    <col min="3" max="5" width="12.83203125" customWidth="1"/>
    <col min="6" max="6" width="14.5" customWidth="1"/>
    <col min="7" max="7" width="16.33203125" customWidth="1"/>
    <col min="8" max="8" width="12.83203125" customWidth="1"/>
  </cols>
  <sheetData>
    <row r="1" spans="2:8" ht="15" customHeight="1"/>
    <row r="2" spans="2:8" ht="18" customHeight="1">
      <c r="B2" s="9" t="s">
        <v>73</v>
      </c>
    </row>
    <row r="3" spans="2:8" ht="18" customHeight="1">
      <c r="B3" s="9" t="s">
        <v>98</v>
      </c>
    </row>
    <row r="4" spans="2:8" ht="15" customHeight="1"/>
    <row r="5" spans="2:8" ht="30" customHeight="1">
      <c r="B5" s="1"/>
      <c r="C5" s="5" t="s">
        <v>0</v>
      </c>
      <c r="D5" s="5" t="s">
        <v>1</v>
      </c>
      <c r="E5" s="5" t="s">
        <v>2</v>
      </c>
      <c r="F5" s="5" t="s">
        <v>3</v>
      </c>
      <c r="G5" s="5" t="s">
        <v>90</v>
      </c>
      <c r="H5" s="5" t="s">
        <v>4</v>
      </c>
    </row>
    <row r="6" spans="2:8" ht="15" customHeight="1">
      <c r="B6" s="2"/>
      <c r="C6" s="8" t="s">
        <v>70</v>
      </c>
      <c r="D6" s="8" t="s">
        <v>70</v>
      </c>
      <c r="E6" s="8" t="s">
        <v>70</v>
      </c>
      <c r="F6" s="8" t="s">
        <v>70</v>
      </c>
      <c r="G6" s="8" t="s">
        <v>70</v>
      </c>
      <c r="H6" s="8" t="s">
        <v>70</v>
      </c>
    </row>
    <row r="7" spans="2:8" ht="15" customHeight="1">
      <c r="B7" s="6" t="s">
        <v>54</v>
      </c>
      <c r="C7" s="3">
        <v>695.33500000000004</v>
      </c>
      <c r="D7" s="3">
        <v>432.9</v>
      </c>
      <c r="E7" s="3">
        <v>273.49900000000002</v>
      </c>
      <c r="F7" s="3">
        <v>33.594999999999999</v>
      </c>
      <c r="G7" s="3">
        <v>-13.648999999999999</v>
      </c>
      <c r="H7" s="3">
        <v>1421.6790000000001</v>
      </c>
    </row>
    <row r="8" spans="2:8" ht="15" customHeight="1">
      <c r="B8" s="6" t="s">
        <v>55</v>
      </c>
      <c r="C8" s="3">
        <v>688.721</v>
      </c>
      <c r="D8" s="3">
        <v>448.43599999999998</v>
      </c>
      <c r="E8" s="3">
        <v>263.452</v>
      </c>
      <c r="F8" s="3">
        <v>35.963000000000001</v>
      </c>
      <c r="G8" s="3">
        <v>-9.8320000000000007</v>
      </c>
      <c r="H8" s="3">
        <v>1426.739</v>
      </c>
    </row>
    <row r="9" spans="2:8" ht="15" customHeight="1">
      <c r="B9" s="6" t="s">
        <v>56</v>
      </c>
      <c r="C9" s="3">
        <v>681.17200000000003</v>
      </c>
      <c r="D9" s="3">
        <v>488.779</v>
      </c>
      <c r="E9" s="3">
        <v>258.58499999999998</v>
      </c>
      <c r="F9" s="3">
        <v>44.661999999999999</v>
      </c>
      <c r="G9" s="3">
        <v>-24.640999999999998</v>
      </c>
      <c r="H9" s="3">
        <v>1448.557</v>
      </c>
    </row>
    <row r="10" spans="2:8" ht="15" customHeight="1">
      <c r="B10" s="6" t="s">
        <v>57</v>
      </c>
      <c r="C10" s="3">
        <v>705.71699999999998</v>
      </c>
      <c r="D10" s="3">
        <v>469.25099999999998</v>
      </c>
      <c r="E10" s="3">
        <v>263.60199999999998</v>
      </c>
      <c r="F10" s="3">
        <v>40.988</v>
      </c>
      <c r="G10" s="3">
        <v>-22.245999999999999</v>
      </c>
      <c r="H10" s="3">
        <v>1457.3119999999999</v>
      </c>
    </row>
    <row r="11" spans="2:8" ht="15" customHeight="1">
      <c r="B11" s="6" t="s">
        <v>58</v>
      </c>
      <c r="C11" s="3">
        <v>622.00400000000002</v>
      </c>
      <c r="D11" s="3">
        <v>488.29500000000002</v>
      </c>
      <c r="E11" s="3">
        <v>276.166</v>
      </c>
      <c r="F11" s="3">
        <v>55.457000000000001</v>
      </c>
      <c r="G11" s="3">
        <v>-16.62</v>
      </c>
      <c r="H11" s="3">
        <v>1425.3019999999999</v>
      </c>
    </row>
    <row r="12" spans="2:8" ht="15" customHeight="1">
      <c r="B12" s="6" t="s">
        <v>59</v>
      </c>
      <c r="C12" s="3">
        <v>605.60500000000002</v>
      </c>
      <c r="D12" s="3">
        <v>495.53199999999998</v>
      </c>
      <c r="E12" s="3">
        <v>252.83099999999999</v>
      </c>
      <c r="F12" s="3">
        <v>57.158999999999999</v>
      </c>
      <c r="G12" s="3">
        <v>-16.347999999999999</v>
      </c>
      <c r="H12" s="3">
        <v>1394.779</v>
      </c>
    </row>
    <row r="13" spans="2:8" ht="15" customHeight="1">
      <c r="B13" s="6" t="s">
        <v>60</v>
      </c>
      <c r="C13" s="3">
        <v>641.15200000000004</v>
      </c>
      <c r="D13" s="3">
        <v>464.52100000000002</v>
      </c>
      <c r="E13" s="3">
        <v>257.65499999999997</v>
      </c>
      <c r="F13" s="3">
        <v>59.220999999999997</v>
      </c>
      <c r="G13" s="3">
        <v>-30.277999999999999</v>
      </c>
      <c r="H13" s="3">
        <v>1392.271</v>
      </c>
    </row>
    <row r="14" spans="2:8" ht="15" customHeight="1">
      <c r="B14" s="6" t="s">
        <v>61</v>
      </c>
      <c r="C14" s="3">
        <v>617.41300000000001</v>
      </c>
      <c r="D14" s="3">
        <v>506.952</v>
      </c>
      <c r="E14" s="3">
        <v>253.88300000000001</v>
      </c>
      <c r="F14" s="3">
        <v>62.325000000000003</v>
      </c>
      <c r="G14" s="3">
        <v>-25.780999999999999</v>
      </c>
      <c r="H14" s="3">
        <v>1414.7919999999999</v>
      </c>
    </row>
    <row r="15" spans="2:8" ht="15" customHeight="1">
      <c r="B15" s="6" t="s">
        <v>62</v>
      </c>
      <c r="C15" s="3">
        <v>577.32299999999998</v>
      </c>
      <c r="D15" s="3">
        <v>512.38800000000003</v>
      </c>
      <c r="E15" s="3">
        <v>258.67599999999999</v>
      </c>
      <c r="F15" s="3">
        <v>65.626000000000005</v>
      </c>
      <c r="G15" s="3">
        <v>-29.224</v>
      </c>
      <c r="H15" s="3">
        <v>1384.789</v>
      </c>
    </row>
    <row r="16" spans="2:8" ht="15" customHeight="1">
      <c r="B16" s="6" t="s">
        <v>63</v>
      </c>
      <c r="C16" s="3">
        <v>467.38600000000002</v>
      </c>
      <c r="D16" s="3">
        <v>517.90700000000004</v>
      </c>
      <c r="E16" s="3">
        <v>263.553</v>
      </c>
      <c r="F16" s="3">
        <v>66.067999999999998</v>
      </c>
      <c r="G16" s="3">
        <v>-4.9340000000000002</v>
      </c>
      <c r="H16" s="3">
        <v>1309.98</v>
      </c>
    </row>
    <row r="17" spans="2:8" ht="15" customHeight="1">
      <c r="B17" s="6" t="s">
        <v>64</v>
      </c>
      <c r="C17" s="3">
        <v>444.1</v>
      </c>
      <c r="D17" s="3">
        <v>510.50299999999999</v>
      </c>
      <c r="E17" s="3">
        <v>255.89099999999999</v>
      </c>
      <c r="F17" s="3">
        <v>72.016999999999996</v>
      </c>
      <c r="G17" s="3">
        <v>-3.5979999999999999</v>
      </c>
      <c r="H17" s="3">
        <v>1278.914</v>
      </c>
    </row>
    <row r="18" spans="2:8" ht="15" customHeight="1">
      <c r="B18" s="6" t="s">
        <v>65</v>
      </c>
      <c r="C18" s="3">
        <v>423.20499999999998</v>
      </c>
      <c r="D18" s="3">
        <v>460.904</v>
      </c>
      <c r="E18" s="3">
        <v>256.517</v>
      </c>
      <c r="F18" s="3">
        <v>77.397000000000006</v>
      </c>
      <c r="G18" s="3">
        <v>-2.4140000000000001</v>
      </c>
      <c r="H18" s="3">
        <v>1215.6089999999999</v>
      </c>
    </row>
    <row r="19" spans="2:8" ht="15" customHeight="1">
      <c r="B19" s="6" t="s">
        <v>66</v>
      </c>
      <c r="C19" s="3">
        <v>427.70800000000003</v>
      </c>
      <c r="D19" s="3">
        <v>394.77800000000002</v>
      </c>
      <c r="E19" s="3">
        <v>236.28700000000001</v>
      </c>
      <c r="F19" s="3">
        <v>89.349000000000004</v>
      </c>
      <c r="G19" s="3">
        <v>-9.4410000000000007</v>
      </c>
      <c r="H19" s="3">
        <v>1138.681</v>
      </c>
    </row>
    <row r="20" spans="2:8" ht="15" customHeight="1">
      <c r="B20" s="6" t="s">
        <v>67</v>
      </c>
      <c r="C20" s="3">
        <v>410.709</v>
      </c>
      <c r="D20" s="3">
        <v>433.70299999999997</v>
      </c>
      <c r="E20" s="3">
        <v>237.50399999999999</v>
      </c>
      <c r="F20" s="3">
        <v>104.66800000000001</v>
      </c>
      <c r="G20" s="3">
        <v>-17.262</v>
      </c>
      <c r="H20" s="3">
        <v>1169.3219999999999</v>
      </c>
    </row>
    <row r="21" spans="2:8" ht="15" customHeight="1">
      <c r="B21" s="6" t="s">
        <v>68</v>
      </c>
      <c r="C21" s="3">
        <v>398.19799999999998</v>
      </c>
      <c r="D21" s="3">
        <v>488.19799999999998</v>
      </c>
      <c r="E21" s="3">
        <v>215.167</v>
      </c>
      <c r="F21" s="3">
        <v>112.386</v>
      </c>
      <c r="G21" s="3">
        <v>-18.041</v>
      </c>
      <c r="H21" s="3">
        <v>1195.9079999999999</v>
      </c>
    </row>
    <row r="22" spans="2:8" ht="15" customHeight="1">
      <c r="B22" s="7" t="s">
        <v>69</v>
      </c>
      <c r="C22" s="4">
        <v>409.39299999999997</v>
      </c>
      <c r="D22" s="4">
        <v>526.63800000000003</v>
      </c>
      <c r="E22" s="4">
        <v>208.96</v>
      </c>
      <c r="F22" s="4">
        <v>110.554</v>
      </c>
      <c r="G22" s="4">
        <v>-15.831</v>
      </c>
      <c r="H22" s="4">
        <v>1239.7149999999999</v>
      </c>
    </row>
    <row r="23" spans="2:8" ht="15" customHeight="1">
      <c r="B23" s="10"/>
    </row>
    <row r="24" spans="2:8" ht="15" customHeight="1">
      <c r="B24" s="10" t="s">
        <v>88</v>
      </c>
    </row>
    <row r="25" spans="2:8" ht="15" customHeight="1">
      <c r="B25" s="11" t="s">
        <v>91</v>
      </c>
    </row>
    <row r="26" spans="2:8" ht="15" customHeight="1">
      <c r="B26" s="12" t="s">
        <v>97</v>
      </c>
    </row>
    <row r="27" spans="2:8" ht="15" customHeight="1">
      <c r="B27" s="13" t="s">
        <v>95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7"/>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ColWidth="11.5" defaultRowHeight="15"/>
  <cols>
    <col min="1" max="1" width="2.83203125" customWidth="1"/>
    <col min="2" max="2" width="9.6640625" customWidth="1"/>
    <col min="3" max="5" width="12.83203125" customWidth="1"/>
    <col min="6" max="6" width="14.5" customWidth="1"/>
    <col min="7" max="7" width="16.33203125" customWidth="1"/>
    <col min="8" max="8" width="12.83203125" customWidth="1"/>
  </cols>
  <sheetData>
    <row r="1" spans="2:8" ht="15" customHeight="1"/>
    <row r="2" spans="2:8" ht="18" customHeight="1">
      <c r="B2" s="9" t="s">
        <v>74</v>
      </c>
    </row>
    <row r="3" spans="2:8" ht="18" customHeight="1">
      <c r="B3" s="9" t="s">
        <v>99</v>
      </c>
    </row>
    <row r="4" spans="2:8" ht="15" customHeight="1"/>
    <row r="5" spans="2:8" ht="30" customHeight="1">
      <c r="B5" s="1"/>
      <c r="C5" s="5" t="s">
        <v>0</v>
      </c>
      <c r="D5" s="5" t="s">
        <v>1</v>
      </c>
      <c r="E5" s="5" t="s">
        <v>2</v>
      </c>
      <c r="F5" s="5" t="s">
        <v>3</v>
      </c>
      <c r="G5" s="5" t="s">
        <v>90</v>
      </c>
      <c r="H5" s="5" t="s">
        <v>4</v>
      </c>
    </row>
    <row r="6" spans="2:8" ht="15" customHeight="1">
      <c r="B6" s="2"/>
      <c r="C6" s="8" t="s">
        <v>70</v>
      </c>
      <c r="D6" s="8" t="s">
        <v>70</v>
      </c>
      <c r="E6" s="8" t="s">
        <v>70</v>
      </c>
      <c r="F6" s="8" t="s">
        <v>70</v>
      </c>
      <c r="G6" s="8" t="s">
        <v>70</v>
      </c>
      <c r="H6" s="8" t="s">
        <v>70</v>
      </c>
    </row>
    <row r="7" spans="2:8" ht="15" customHeight="1">
      <c r="B7" s="6" t="s">
        <v>54</v>
      </c>
      <c r="C7" s="3">
        <v>629.21199999999999</v>
      </c>
      <c r="D7" s="3">
        <v>469.53100000000001</v>
      </c>
      <c r="E7" s="3">
        <v>187.93799999999999</v>
      </c>
      <c r="F7" s="3">
        <v>77.402000000000001</v>
      </c>
      <c r="G7" s="3">
        <v>-18.353999999999999</v>
      </c>
      <c r="H7" s="3">
        <v>1345.729</v>
      </c>
    </row>
    <row r="8" spans="2:8" ht="15" customHeight="1">
      <c r="B8" s="6" t="s">
        <v>55</v>
      </c>
      <c r="C8" s="3">
        <v>547.51</v>
      </c>
      <c r="D8" s="3">
        <v>466.86900000000003</v>
      </c>
      <c r="E8" s="3">
        <v>195.803</v>
      </c>
      <c r="F8" s="3">
        <v>107.377</v>
      </c>
      <c r="G8" s="3">
        <v>-23.175000000000001</v>
      </c>
      <c r="H8" s="3">
        <v>1294.384</v>
      </c>
    </row>
    <row r="9" spans="2:8" ht="15" customHeight="1">
      <c r="B9" s="6" t="s">
        <v>56</v>
      </c>
      <c r="C9" s="3">
        <v>497.209</v>
      </c>
      <c r="D9" s="3">
        <v>483.31700000000001</v>
      </c>
      <c r="E9" s="3">
        <v>190.55199999999999</v>
      </c>
      <c r="F9" s="3">
        <v>98.739000000000004</v>
      </c>
      <c r="G9" s="3">
        <v>-20.22</v>
      </c>
      <c r="H9" s="3">
        <v>1249.598</v>
      </c>
    </row>
    <row r="10" spans="2:8" ht="15" customHeight="1">
      <c r="B10" s="6" t="s">
        <v>57</v>
      </c>
      <c r="C10" s="3">
        <v>481.54599999999999</v>
      </c>
      <c r="D10" s="3">
        <v>504.80599999999998</v>
      </c>
      <c r="E10" s="3">
        <v>246.14500000000001</v>
      </c>
      <c r="F10" s="3">
        <v>99.736999999999995</v>
      </c>
      <c r="G10" s="3">
        <v>-17.417000000000002</v>
      </c>
      <c r="H10" s="3">
        <v>1314.818</v>
      </c>
    </row>
    <row r="11" spans="2:8" ht="15" customHeight="1">
      <c r="B11" s="6" t="s">
        <v>58</v>
      </c>
      <c r="C11" s="3">
        <v>473.41</v>
      </c>
      <c r="D11" s="3">
        <v>515.23500000000001</v>
      </c>
      <c r="E11" s="3">
        <v>239.82400000000001</v>
      </c>
      <c r="F11" s="3">
        <v>114.23699999999999</v>
      </c>
      <c r="G11" s="3">
        <v>-7.3479999999999999</v>
      </c>
      <c r="H11" s="3">
        <v>1335.3579999999999</v>
      </c>
    </row>
    <row r="12" spans="2:8" ht="15" customHeight="1">
      <c r="B12" s="6" t="s">
        <v>59</v>
      </c>
      <c r="C12" s="3">
        <v>442.851</v>
      </c>
      <c r="D12" s="3">
        <v>531.52599999999995</v>
      </c>
      <c r="E12" s="3">
        <v>257.99599999999998</v>
      </c>
      <c r="F12" s="3">
        <v>109.563</v>
      </c>
      <c r="G12" s="3">
        <v>-2.734</v>
      </c>
      <c r="H12" s="3">
        <v>1339.203</v>
      </c>
    </row>
    <row r="13" spans="2:8" ht="15" customHeight="1">
      <c r="B13" s="6" t="s">
        <v>60</v>
      </c>
      <c r="C13" s="3">
        <v>485.27699999999999</v>
      </c>
      <c r="D13" s="3">
        <v>555.86599999999999</v>
      </c>
      <c r="E13" s="3">
        <v>294.916</v>
      </c>
      <c r="F13" s="3">
        <v>122.53700000000001</v>
      </c>
      <c r="G13" s="3">
        <v>-22.088000000000001</v>
      </c>
      <c r="H13" s="3">
        <v>1436.508</v>
      </c>
    </row>
    <row r="14" spans="2:8" ht="15" customHeight="1">
      <c r="B14" s="6" t="s">
        <v>61</v>
      </c>
      <c r="C14" s="3">
        <v>517.79100000000005</v>
      </c>
      <c r="D14" s="3">
        <v>542.78899999999999</v>
      </c>
      <c r="E14" s="3">
        <v>296.399</v>
      </c>
      <c r="F14" s="3">
        <v>120.39</v>
      </c>
      <c r="G14" s="3">
        <v>-12.506</v>
      </c>
      <c r="H14" s="3">
        <v>1464.8630000000001</v>
      </c>
    </row>
    <row r="15" spans="2:8" ht="15" customHeight="1">
      <c r="B15" s="6" t="s">
        <v>62</v>
      </c>
      <c r="C15" s="3">
        <v>544.16700000000003</v>
      </c>
      <c r="D15" s="3">
        <v>563.97299999999996</v>
      </c>
      <c r="E15" s="3">
        <v>309.58199999999999</v>
      </c>
      <c r="F15" s="3">
        <v>129.58799999999999</v>
      </c>
      <c r="G15" s="3">
        <v>-15.090999999999999</v>
      </c>
      <c r="H15" s="3">
        <v>1532.2180000000001</v>
      </c>
    </row>
    <row r="16" spans="2:8" ht="15" customHeight="1">
      <c r="B16" s="6" t="s">
        <v>63</v>
      </c>
      <c r="C16" s="3">
        <v>570.59</v>
      </c>
      <c r="D16" s="3">
        <v>579.56200000000001</v>
      </c>
      <c r="E16" s="3">
        <v>302.26900000000001</v>
      </c>
      <c r="F16" s="3">
        <v>120.629</v>
      </c>
      <c r="G16" s="3">
        <v>-24.204000000000001</v>
      </c>
      <c r="H16" s="3">
        <v>1548.845</v>
      </c>
    </row>
    <row r="17" spans="2:8" ht="15" customHeight="1">
      <c r="B17" s="6" t="s">
        <v>64</v>
      </c>
      <c r="C17" s="3">
        <v>554.15200000000004</v>
      </c>
      <c r="D17" s="3">
        <v>580.10900000000004</v>
      </c>
      <c r="E17" s="3">
        <v>294.01799999999997</v>
      </c>
      <c r="F17" s="3">
        <v>123.899</v>
      </c>
      <c r="G17" s="3">
        <v>-19.88</v>
      </c>
      <c r="H17" s="3">
        <v>1532.297</v>
      </c>
    </row>
    <row r="18" spans="2:8" ht="15" customHeight="1">
      <c r="B18" s="6" t="s">
        <v>65</v>
      </c>
      <c r="C18" s="3">
        <v>524.38400000000001</v>
      </c>
      <c r="D18" s="3">
        <v>551.00900000000001</v>
      </c>
      <c r="E18" s="3">
        <v>312.96800000000002</v>
      </c>
      <c r="F18" s="3">
        <v>127.023</v>
      </c>
      <c r="G18" s="3">
        <v>-21.855</v>
      </c>
      <c r="H18" s="3">
        <v>1493.529</v>
      </c>
    </row>
    <row r="19" spans="2:8" ht="15" customHeight="1">
      <c r="B19" s="6" t="s">
        <v>66</v>
      </c>
      <c r="C19" s="3">
        <v>506.12099999999998</v>
      </c>
      <c r="D19" s="3">
        <v>507.72899999999998</v>
      </c>
      <c r="E19" s="3">
        <v>313.02800000000002</v>
      </c>
      <c r="F19" s="3">
        <v>139.60599999999999</v>
      </c>
      <c r="G19" s="3">
        <v>-17.945</v>
      </c>
      <c r="H19" s="3">
        <v>1448.54</v>
      </c>
    </row>
    <row r="20" spans="2:8" ht="15" customHeight="1">
      <c r="B20" s="6" t="s">
        <v>67</v>
      </c>
      <c r="C20" s="3">
        <v>485.64699999999999</v>
      </c>
      <c r="D20" s="3">
        <v>523.38499999999999</v>
      </c>
      <c r="E20" s="3">
        <v>305.69299999999998</v>
      </c>
      <c r="F20" s="3">
        <v>143.15799999999999</v>
      </c>
      <c r="G20" s="3">
        <v>-11.157999999999999</v>
      </c>
      <c r="H20" s="3">
        <v>1446.7260000000001</v>
      </c>
    </row>
    <row r="21" spans="2:8" ht="15" customHeight="1">
      <c r="B21" s="6" t="s">
        <v>68</v>
      </c>
      <c r="C21" s="3">
        <v>471.089</v>
      </c>
      <c r="D21" s="3">
        <v>552.64099999999996</v>
      </c>
      <c r="E21" s="3">
        <v>290.53300000000002</v>
      </c>
      <c r="F21" s="3">
        <v>162.43100000000001</v>
      </c>
      <c r="G21" s="3">
        <v>-13.419</v>
      </c>
      <c r="H21" s="3">
        <v>1463.2739999999999</v>
      </c>
    </row>
    <row r="22" spans="2:8" ht="15" customHeight="1">
      <c r="B22" s="7" t="s">
        <v>69</v>
      </c>
      <c r="C22" s="4">
        <v>474.88200000000001</v>
      </c>
      <c r="D22" s="4">
        <v>553.01499999999999</v>
      </c>
      <c r="E22" s="4">
        <v>280.88900000000001</v>
      </c>
      <c r="F22" s="4">
        <v>165.036</v>
      </c>
      <c r="G22" s="4">
        <v>-15.877000000000001</v>
      </c>
      <c r="H22" s="4">
        <v>1457.9449999999999</v>
      </c>
    </row>
    <row r="23" spans="2:8" ht="15" customHeight="1">
      <c r="B23" s="10"/>
    </row>
    <row r="24" spans="2:8" ht="15" customHeight="1">
      <c r="B24" s="10" t="s">
        <v>88</v>
      </c>
    </row>
    <row r="25" spans="2:8" ht="15" customHeight="1">
      <c r="B25" s="11" t="s">
        <v>91</v>
      </c>
    </row>
    <row r="26" spans="2:8" ht="15" customHeight="1">
      <c r="B26" s="12" t="s">
        <v>97</v>
      </c>
    </row>
    <row r="27" spans="2:8" ht="15" customHeight="1">
      <c r="B27" s="13" t="s">
        <v>95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6"/>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ColWidth="11.5" defaultRowHeight="15"/>
  <cols>
    <col min="1" max="1" width="2.83203125" customWidth="1"/>
    <col min="2" max="2" width="9.6640625" customWidth="1"/>
    <col min="3" max="5" width="12.83203125" customWidth="1"/>
    <col min="6" max="6" width="14.5" customWidth="1"/>
    <col min="7" max="7" width="16.33203125" customWidth="1"/>
    <col min="8" max="8" width="12.83203125" customWidth="1"/>
  </cols>
  <sheetData>
    <row r="1" spans="2:8" ht="15" customHeight="1"/>
    <row r="2" spans="2:8" ht="18" customHeight="1">
      <c r="B2" s="9" t="s">
        <v>75</v>
      </c>
    </row>
    <row r="3" spans="2:8" ht="18" customHeight="1">
      <c r="B3" s="9" t="s">
        <v>100</v>
      </c>
    </row>
    <row r="4" spans="2:8" ht="15" customHeight="1"/>
    <row r="5" spans="2:8" ht="30" customHeight="1">
      <c r="B5" s="1"/>
      <c r="C5" s="5" t="s">
        <v>0</v>
      </c>
      <c r="D5" s="5" t="s">
        <v>1</v>
      </c>
      <c r="E5" s="5" t="s">
        <v>2</v>
      </c>
      <c r="F5" s="5" t="s">
        <v>3</v>
      </c>
      <c r="G5" s="5" t="s">
        <v>90</v>
      </c>
      <c r="H5" s="5" t="s">
        <v>4</v>
      </c>
    </row>
    <row r="6" spans="2:8" ht="15" customHeight="1">
      <c r="B6" s="2"/>
      <c r="C6" s="8" t="s">
        <v>70</v>
      </c>
      <c r="D6" s="8" t="s">
        <v>70</v>
      </c>
      <c r="E6" s="8" t="s">
        <v>70</v>
      </c>
      <c r="F6" s="8" t="s">
        <v>70</v>
      </c>
      <c r="G6" s="8" t="s">
        <v>70</v>
      </c>
      <c r="H6" s="8" t="s">
        <v>70</v>
      </c>
    </row>
    <row r="7" spans="2:8" ht="15" customHeight="1">
      <c r="B7" s="6" t="s">
        <v>54</v>
      </c>
      <c r="C7" s="3">
        <v>132.946</v>
      </c>
      <c r="D7" s="3">
        <v>294.34300000000002</v>
      </c>
      <c r="E7" s="3">
        <v>474.67599999999999</v>
      </c>
      <c r="F7" s="3">
        <v>15.59</v>
      </c>
      <c r="G7" s="3">
        <v>-0.33300000000000002</v>
      </c>
      <c r="H7" s="3">
        <v>917.22199999999998</v>
      </c>
    </row>
    <row r="8" spans="2:8" ht="15" customHeight="1">
      <c r="B8" s="6" t="s">
        <v>55</v>
      </c>
      <c r="C8" s="3">
        <v>125.583</v>
      </c>
      <c r="D8" s="3">
        <v>289.95</v>
      </c>
      <c r="E8" s="3">
        <v>474.86399999999998</v>
      </c>
      <c r="F8" s="3">
        <v>14.61</v>
      </c>
      <c r="G8" s="3">
        <v>0.74099999999999999</v>
      </c>
      <c r="H8" s="3">
        <v>905.74800000000005</v>
      </c>
    </row>
    <row r="9" spans="2:8" ht="15" customHeight="1">
      <c r="B9" s="6" t="s">
        <v>56</v>
      </c>
      <c r="C9" s="3">
        <v>130.57599999999999</v>
      </c>
      <c r="D9" s="3">
        <v>341.495</v>
      </c>
      <c r="E9" s="3">
        <v>494.90800000000002</v>
      </c>
      <c r="F9" s="3">
        <v>15.273999999999999</v>
      </c>
      <c r="G9" s="3">
        <v>-1.9650000000000001</v>
      </c>
      <c r="H9" s="3">
        <v>980.28899999999999</v>
      </c>
    </row>
    <row r="10" spans="2:8" ht="15" customHeight="1">
      <c r="B10" s="6" t="s">
        <v>57</v>
      </c>
      <c r="C10" s="3">
        <v>124.96899999999999</v>
      </c>
      <c r="D10" s="3">
        <v>339.50700000000001</v>
      </c>
      <c r="E10" s="3">
        <v>503.35199999999998</v>
      </c>
      <c r="F10" s="3">
        <v>17.044</v>
      </c>
      <c r="G10" s="3">
        <v>-2.7090000000000001</v>
      </c>
      <c r="H10" s="3">
        <v>982.16300000000001</v>
      </c>
    </row>
    <row r="11" spans="2:8" ht="15" customHeight="1">
      <c r="B11" s="6" t="s">
        <v>58</v>
      </c>
      <c r="C11" s="3">
        <v>129.80699999999999</v>
      </c>
      <c r="D11" s="3">
        <v>357.52300000000002</v>
      </c>
      <c r="E11" s="3">
        <v>515.48400000000004</v>
      </c>
      <c r="F11" s="3">
        <v>18.843</v>
      </c>
      <c r="G11" s="3">
        <v>-2.2029999999999998</v>
      </c>
      <c r="H11" s="3">
        <v>1019.454</v>
      </c>
    </row>
    <row r="12" spans="2:8" ht="15" customHeight="1">
      <c r="B12" s="6" t="s">
        <v>59</v>
      </c>
      <c r="C12" s="3">
        <v>136.09</v>
      </c>
      <c r="D12" s="3">
        <v>373.476</v>
      </c>
      <c r="E12" s="3">
        <v>536.07299999999998</v>
      </c>
      <c r="F12" s="3">
        <v>20.925000000000001</v>
      </c>
      <c r="G12" s="3">
        <v>0</v>
      </c>
      <c r="H12" s="3">
        <v>1066.5640000000001</v>
      </c>
    </row>
    <row r="13" spans="2:8" ht="15" customHeight="1">
      <c r="B13" s="6" t="s">
        <v>60</v>
      </c>
      <c r="C13" s="3">
        <v>127.613</v>
      </c>
      <c r="D13" s="3">
        <v>355.59800000000001</v>
      </c>
      <c r="E13" s="3">
        <v>539.85699999999997</v>
      </c>
      <c r="F13" s="3">
        <v>22.292000000000002</v>
      </c>
      <c r="G13" s="3">
        <v>-6.0000000000000001E-3</v>
      </c>
      <c r="H13" s="3">
        <v>1045.354</v>
      </c>
    </row>
    <row r="14" spans="2:8" ht="15" customHeight="1">
      <c r="B14" s="6" t="s">
        <v>61</v>
      </c>
      <c r="C14" s="3">
        <v>136.41300000000001</v>
      </c>
      <c r="D14" s="3">
        <v>403.70800000000003</v>
      </c>
      <c r="E14" s="3">
        <v>561.91</v>
      </c>
      <c r="F14" s="3">
        <v>21.893999999999998</v>
      </c>
      <c r="G14" s="3">
        <v>-6.0000000000000001E-3</v>
      </c>
      <c r="H14" s="3">
        <v>1123.9190000000001</v>
      </c>
    </row>
    <row r="15" spans="2:8" ht="15" customHeight="1">
      <c r="B15" s="6" t="s">
        <v>62</v>
      </c>
      <c r="C15" s="3">
        <v>145.85499999999999</v>
      </c>
      <c r="D15" s="3">
        <v>411.399</v>
      </c>
      <c r="E15" s="3">
        <v>594.86099999999999</v>
      </c>
      <c r="F15" s="3">
        <v>24.751000000000001</v>
      </c>
      <c r="G15" s="3">
        <v>-9.0999999999999998E-2</v>
      </c>
      <c r="H15" s="3">
        <v>1176.7760000000001</v>
      </c>
    </row>
    <row r="16" spans="2:8" ht="15" customHeight="1">
      <c r="B16" s="6" t="s">
        <v>63</v>
      </c>
      <c r="C16" s="3">
        <v>136.24299999999999</v>
      </c>
      <c r="D16" s="3">
        <v>405.233</v>
      </c>
      <c r="E16" s="3">
        <v>643.29100000000005</v>
      </c>
      <c r="F16" s="3">
        <v>24.998999999999999</v>
      </c>
      <c r="G16" s="3">
        <v>-9.8000000000000004E-2</v>
      </c>
      <c r="H16" s="3">
        <v>1209.6690000000001</v>
      </c>
    </row>
    <row r="17" spans="2:8" ht="15" customHeight="1">
      <c r="B17" s="6" t="s">
        <v>64</v>
      </c>
      <c r="C17" s="3">
        <v>126.785</v>
      </c>
      <c r="D17" s="3">
        <v>440.61099999999999</v>
      </c>
      <c r="E17" s="3">
        <v>667.75599999999997</v>
      </c>
      <c r="F17" s="3">
        <v>27.289000000000001</v>
      </c>
      <c r="G17" s="3">
        <v>0</v>
      </c>
      <c r="H17" s="3">
        <v>1262.441</v>
      </c>
    </row>
    <row r="18" spans="2:8" ht="15" customHeight="1">
      <c r="B18" s="6" t="s">
        <v>65</v>
      </c>
      <c r="C18" s="3">
        <v>119.508</v>
      </c>
      <c r="D18" s="3">
        <v>427.49299999999999</v>
      </c>
      <c r="E18" s="3">
        <v>692.59799999999996</v>
      </c>
      <c r="F18" s="3">
        <v>29.053999999999998</v>
      </c>
      <c r="G18" s="3">
        <v>0</v>
      </c>
      <c r="H18" s="3">
        <v>1268.653</v>
      </c>
    </row>
    <row r="19" spans="2:8" ht="15" customHeight="1">
      <c r="B19" s="6" t="s">
        <v>66</v>
      </c>
      <c r="C19" s="3">
        <v>114.32299999999999</v>
      </c>
      <c r="D19" s="3">
        <v>416.19299999999998</v>
      </c>
      <c r="E19" s="3">
        <v>670.14700000000005</v>
      </c>
      <c r="F19" s="3">
        <v>35.936</v>
      </c>
      <c r="G19" s="3">
        <v>-7.0000000000000001E-3</v>
      </c>
      <c r="H19" s="3">
        <v>1236.5909999999999</v>
      </c>
    </row>
    <row r="20" spans="2:8" ht="15" customHeight="1">
      <c r="B20" s="6" t="s">
        <v>67</v>
      </c>
      <c r="C20" s="3">
        <v>121.07599999999999</v>
      </c>
      <c r="D20" s="3">
        <v>429.04</v>
      </c>
      <c r="E20" s="3">
        <v>673.08</v>
      </c>
      <c r="F20" s="3">
        <v>41.100999999999999</v>
      </c>
      <c r="G20" s="3">
        <v>-8.9999999999999993E-3</v>
      </c>
      <c r="H20" s="3">
        <v>1264.288</v>
      </c>
    </row>
    <row r="21" spans="2:8" ht="15" customHeight="1">
      <c r="B21" s="6" t="s">
        <v>68</v>
      </c>
      <c r="C21" s="3">
        <v>99.448999999999998</v>
      </c>
      <c r="D21" s="3">
        <v>447.52</v>
      </c>
      <c r="E21" s="3">
        <v>704.82899999999995</v>
      </c>
      <c r="F21" s="3">
        <v>42.302999999999997</v>
      </c>
      <c r="G21" s="3">
        <v>0</v>
      </c>
      <c r="H21" s="3">
        <v>1294.1010000000001</v>
      </c>
    </row>
    <row r="22" spans="2:8" ht="15" customHeight="1">
      <c r="B22" s="7" t="s">
        <v>69</v>
      </c>
      <c r="C22" s="4">
        <v>99.462000000000003</v>
      </c>
      <c r="D22" s="4">
        <v>459.20800000000003</v>
      </c>
      <c r="E22" s="4">
        <v>693.10299999999995</v>
      </c>
      <c r="F22" s="4">
        <v>44.006</v>
      </c>
      <c r="G22" s="4">
        <v>-0.14499999999999999</v>
      </c>
      <c r="H22" s="4">
        <v>1295.635</v>
      </c>
    </row>
    <row r="23" spans="2:8" ht="15" customHeight="1">
      <c r="B23" s="10"/>
    </row>
    <row r="24" spans="2:8" ht="15" customHeight="1">
      <c r="B24" s="10" t="s">
        <v>88</v>
      </c>
    </row>
    <row r="25" spans="2:8" ht="15" customHeight="1">
      <c r="B25" s="11" t="s">
        <v>91</v>
      </c>
    </row>
    <row r="26" spans="2:8" ht="15" customHeight="1">
      <c r="B26" s="12" t="s">
        <v>101</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27"/>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ColWidth="11.5" defaultRowHeight="15"/>
  <cols>
    <col min="1" max="1" width="2.83203125" customWidth="1"/>
    <col min="2" max="2" width="9.6640625" customWidth="1"/>
    <col min="3" max="5" width="12.83203125" customWidth="1"/>
    <col min="6" max="6" width="14.5" customWidth="1"/>
    <col min="7" max="7" width="16.33203125" customWidth="1"/>
    <col min="8" max="8" width="12.83203125" customWidth="1"/>
  </cols>
  <sheetData>
    <row r="1" spans="2:8" ht="15" customHeight="1"/>
    <row r="2" spans="2:8" ht="18" customHeight="1">
      <c r="B2" s="9" t="s">
        <v>76</v>
      </c>
    </row>
    <row r="3" spans="2:8" ht="18" customHeight="1">
      <c r="B3" s="9" t="s">
        <v>102</v>
      </c>
    </row>
    <row r="4" spans="2:8" ht="15" customHeight="1"/>
    <row r="5" spans="2:8" ht="30" customHeight="1">
      <c r="B5" s="1"/>
      <c r="C5" s="5" t="s">
        <v>0</v>
      </c>
      <c r="D5" s="5" t="s">
        <v>1</v>
      </c>
      <c r="E5" s="5" t="s">
        <v>2</v>
      </c>
      <c r="F5" s="5" t="s">
        <v>3</v>
      </c>
      <c r="G5" s="5" t="s">
        <v>90</v>
      </c>
      <c r="H5" s="5" t="s">
        <v>4</v>
      </c>
    </row>
    <row r="6" spans="2:8" ht="15" customHeight="1">
      <c r="B6" s="2"/>
      <c r="C6" s="8" t="s">
        <v>70</v>
      </c>
      <c r="D6" s="8" t="s">
        <v>70</v>
      </c>
      <c r="E6" s="8" t="s">
        <v>70</v>
      </c>
      <c r="F6" s="8" t="s">
        <v>70</v>
      </c>
      <c r="G6" s="8" t="s">
        <v>70</v>
      </c>
      <c r="H6" s="8" t="s">
        <v>70</v>
      </c>
    </row>
    <row r="7" spans="2:8" ht="15" customHeight="1">
      <c r="B7" s="6" t="s">
        <v>54</v>
      </c>
      <c r="C7" s="3">
        <v>80.188999999999993</v>
      </c>
      <c r="D7" s="3">
        <v>120.167</v>
      </c>
      <c r="E7" s="3">
        <v>134.012</v>
      </c>
      <c r="F7" s="3">
        <v>21.189</v>
      </c>
      <c r="G7" s="3">
        <v>1.6679999999999999</v>
      </c>
      <c r="H7" s="3">
        <v>357.22500000000002</v>
      </c>
    </row>
    <row r="8" spans="2:8" ht="15" customHeight="1">
      <c r="B8" s="6" t="s">
        <v>55</v>
      </c>
      <c r="C8" s="3">
        <v>79.659000000000006</v>
      </c>
      <c r="D8" s="3">
        <v>120.45699999999999</v>
      </c>
      <c r="E8" s="3">
        <v>119.46599999999999</v>
      </c>
      <c r="F8" s="3">
        <v>20.431000000000001</v>
      </c>
      <c r="G8" s="3">
        <v>3.714</v>
      </c>
      <c r="H8" s="3">
        <v>343.72699999999998</v>
      </c>
    </row>
    <row r="9" spans="2:8" ht="15" customHeight="1">
      <c r="B9" s="6" t="s">
        <v>56</v>
      </c>
      <c r="C9" s="3">
        <v>72.575999999999993</v>
      </c>
      <c r="D9" s="3">
        <v>119.28400000000001</v>
      </c>
      <c r="E9" s="3">
        <v>121.81</v>
      </c>
      <c r="F9" s="3">
        <v>23.78</v>
      </c>
      <c r="G9" s="3">
        <v>5.359</v>
      </c>
      <c r="H9" s="3">
        <v>342.80900000000003</v>
      </c>
    </row>
    <row r="10" spans="2:8" ht="15" customHeight="1">
      <c r="B10" s="6" t="s">
        <v>57</v>
      </c>
      <c r="C10" s="3">
        <v>60.859000000000002</v>
      </c>
      <c r="D10" s="3">
        <v>89.42</v>
      </c>
      <c r="E10" s="3">
        <v>125.182</v>
      </c>
      <c r="F10" s="3">
        <v>24.702000000000002</v>
      </c>
      <c r="G10" s="3">
        <v>7.5</v>
      </c>
      <c r="H10" s="3">
        <v>307.66500000000002</v>
      </c>
    </row>
    <row r="11" spans="2:8" ht="15" customHeight="1">
      <c r="B11" s="6" t="s">
        <v>58</v>
      </c>
      <c r="C11" s="3">
        <v>50.709000000000003</v>
      </c>
      <c r="D11" s="3">
        <v>147.358</v>
      </c>
      <c r="E11" s="3">
        <v>124.634</v>
      </c>
      <c r="F11" s="3">
        <v>25.109000000000002</v>
      </c>
      <c r="G11" s="3">
        <v>8.468</v>
      </c>
      <c r="H11" s="3">
        <v>356.279</v>
      </c>
    </row>
    <row r="12" spans="2:8" ht="15" customHeight="1">
      <c r="B12" s="6" t="s">
        <v>59</v>
      </c>
      <c r="C12" s="3">
        <v>46.68</v>
      </c>
      <c r="D12" s="3">
        <v>141.047</v>
      </c>
      <c r="E12" s="3">
        <v>110.08499999999999</v>
      </c>
      <c r="F12" s="3">
        <v>29.096</v>
      </c>
      <c r="G12" s="3">
        <v>10.157</v>
      </c>
      <c r="H12" s="3">
        <v>337.065</v>
      </c>
    </row>
    <row r="13" spans="2:8" ht="15" customHeight="1">
      <c r="B13" s="6" t="s">
        <v>60</v>
      </c>
      <c r="C13" s="3">
        <v>53.960999999999999</v>
      </c>
      <c r="D13" s="3">
        <v>163.36000000000001</v>
      </c>
      <c r="E13" s="3">
        <v>99.515000000000001</v>
      </c>
      <c r="F13" s="3">
        <v>30.693000000000001</v>
      </c>
      <c r="G13" s="3">
        <v>9.3960000000000008</v>
      </c>
      <c r="H13" s="3">
        <v>356.92500000000001</v>
      </c>
    </row>
    <row r="14" spans="2:8" ht="15" customHeight="1">
      <c r="B14" s="6" t="s">
        <v>61</v>
      </c>
      <c r="C14" s="3">
        <v>52.624000000000002</v>
      </c>
      <c r="D14" s="3">
        <v>121.209</v>
      </c>
      <c r="E14" s="3">
        <v>100.574</v>
      </c>
      <c r="F14" s="3">
        <v>31.594000000000001</v>
      </c>
      <c r="G14" s="3">
        <v>10.385999999999999</v>
      </c>
      <c r="H14" s="3">
        <v>316.387</v>
      </c>
    </row>
    <row r="15" spans="2:8" ht="15" customHeight="1">
      <c r="B15" s="6" t="s">
        <v>62</v>
      </c>
      <c r="C15" s="3">
        <v>26.064</v>
      </c>
      <c r="D15" s="3">
        <v>106.56699999999999</v>
      </c>
      <c r="E15" s="3">
        <v>109.57299999999999</v>
      </c>
      <c r="F15" s="3">
        <v>31.925999999999998</v>
      </c>
      <c r="G15" s="3">
        <v>13.250999999999999</v>
      </c>
      <c r="H15" s="3">
        <v>287.38200000000001</v>
      </c>
    </row>
    <row r="16" spans="2:8" ht="15" customHeight="1">
      <c r="B16" s="6" t="s">
        <v>63</v>
      </c>
      <c r="C16" s="3">
        <v>25.888999999999999</v>
      </c>
      <c r="D16" s="3">
        <v>148.96899999999999</v>
      </c>
      <c r="E16" s="3">
        <v>120.39400000000001</v>
      </c>
      <c r="F16" s="3">
        <v>37.253999999999998</v>
      </c>
      <c r="G16" s="3">
        <v>2.1480000000000001</v>
      </c>
      <c r="H16" s="3">
        <v>334.65300000000002</v>
      </c>
    </row>
    <row r="17" spans="2:8" ht="15" customHeight="1">
      <c r="B17" s="6" t="s">
        <v>64</v>
      </c>
      <c r="C17" s="3">
        <v>26.337</v>
      </c>
      <c r="D17" s="3">
        <v>149.476</v>
      </c>
      <c r="E17" s="3">
        <v>108.318</v>
      </c>
      <c r="F17" s="3">
        <v>38.954999999999998</v>
      </c>
      <c r="G17" s="3">
        <v>2.1360000000000001</v>
      </c>
      <c r="H17" s="3">
        <v>325.22199999999998</v>
      </c>
    </row>
    <row r="18" spans="2:8" ht="15" customHeight="1">
      <c r="B18" s="6" t="s">
        <v>65</v>
      </c>
      <c r="C18" s="3">
        <v>24.728999999999999</v>
      </c>
      <c r="D18" s="3">
        <v>148.16499999999999</v>
      </c>
      <c r="E18" s="3">
        <v>103.724</v>
      </c>
      <c r="F18" s="3">
        <v>40.932000000000002</v>
      </c>
      <c r="G18" s="3">
        <v>2.335</v>
      </c>
      <c r="H18" s="3">
        <v>319.88600000000002</v>
      </c>
    </row>
    <row r="19" spans="2:8" ht="15" customHeight="1">
      <c r="B19" s="6" t="s">
        <v>66</v>
      </c>
      <c r="C19" s="3">
        <v>25.391999999999999</v>
      </c>
      <c r="D19" s="3">
        <v>143.22200000000001</v>
      </c>
      <c r="E19" s="3">
        <v>92.21</v>
      </c>
      <c r="F19" s="3">
        <v>44.25</v>
      </c>
      <c r="G19" s="3">
        <v>3.6040000000000001</v>
      </c>
      <c r="H19" s="3">
        <v>308.67700000000002</v>
      </c>
    </row>
    <row r="20" spans="2:8" ht="15" customHeight="1">
      <c r="B20" s="6" t="s">
        <v>67</v>
      </c>
      <c r="C20" s="3">
        <v>25.939</v>
      </c>
      <c r="D20" s="3">
        <v>145.04400000000001</v>
      </c>
      <c r="E20" s="3">
        <v>80.164000000000001</v>
      </c>
      <c r="F20" s="3">
        <v>48.085000000000001</v>
      </c>
      <c r="G20" s="3">
        <v>5.1349999999999998</v>
      </c>
      <c r="H20" s="3">
        <v>304.36599999999999</v>
      </c>
    </row>
    <row r="21" spans="2:8" ht="15" customHeight="1">
      <c r="B21" s="6" t="s">
        <v>68</v>
      </c>
      <c r="C21" s="3">
        <v>22.004000000000001</v>
      </c>
      <c r="D21" s="3">
        <v>148.506</v>
      </c>
      <c r="E21" s="3">
        <v>74.762</v>
      </c>
      <c r="F21" s="3">
        <v>51.268000000000001</v>
      </c>
      <c r="G21" s="3">
        <v>7.3029999999999999</v>
      </c>
      <c r="H21" s="3">
        <v>303.84300000000002</v>
      </c>
    </row>
    <row r="22" spans="2:8" ht="15" customHeight="1">
      <c r="B22" s="7" t="s">
        <v>69</v>
      </c>
      <c r="C22" s="4">
        <v>17.821000000000002</v>
      </c>
      <c r="D22" s="4">
        <v>145.584</v>
      </c>
      <c r="E22" s="4">
        <v>70.888999999999996</v>
      </c>
      <c r="F22" s="4">
        <v>50.484999999999999</v>
      </c>
      <c r="G22" s="4">
        <v>6.5049999999999999</v>
      </c>
      <c r="H22" s="4">
        <v>291.28399999999999</v>
      </c>
    </row>
    <row r="23" spans="2:8" ht="15" customHeight="1">
      <c r="B23" s="10"/>
    </row>
    <row r="24" spans="2:8" ht="15" customHeight="1">
      <c r="B24" s="10" t="s">
        <v>88</v>
      </c>
    </row>
    <row r="25" spans="2:8" ht="15" customHeight="1">
      <c r="B25" s="11" t="s">
        <v>91</v>
      </c>
    </row>
    <row r="26" spans="2:8" ht="15" customHeight="1">
      <c r="B26" s="12" t="s">
        <v>97</v>
      </c>
    </row>
    <row r="27" spans="2:8" ht="15" customHeight="1">
      <c r="B27" s="13" t="s">
        <v>95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27"/>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ColWidth="11.5" defaultRowHeight="15"/>
  <cols>
    <col min="1" max="1" width="2.83203125" customWidth="1"/>
    <col min="2" max="2" width="9.6640625" customWidth="1"/>
    <col min="3" max="5" width="12.83203125" customWidth="1"/>
    <col min="6" max="6" width="14.5" customWidth="1"/>
    <col min="7" max="7" width="16.33203125" customWidth="1"/>
    <col min="8" max="8" width="12.83203125" customWidth="1"/>
  </cols>
  <sheetData>
    <row r="1" spans="2:8" ht="15" customHeight="1"/>
    <row r="2" spans="2:8" ht="18" customHeight="1">
      <c r="B2" s="9" t="s">
        <v>77</v>
      </c>
    </row>
    <row r="3" spans="2:8" ht="18" customHeight="1">
      <c r="B3" s="9" t="s">
        <v>103</v>
      </c>
    </row>
    <row r="4" spans="2:8" ht="15" customHeight="1"/>
    <row r="5" spans="2:8" ht="30" customHeight="1">
      <c r="B5" s="1"/>
      <c r="C5" s="5" t="s">
        <v>0</v>
      </c>
      <c r="D5" s="5" t="s">
        <v>1</v>
      </c>
      <c r="E5" s="5" t="s">
        <v>2</v>
      </c>
      <c r="F5" s="5" t="s">
        <v>3</v>
      </c>
      <c r="G5" s="5" t="s">
        <v>90</v>
      </c>
      <c r="H5" s="5" t="s">
        <v>4</v>
      </c>
    </row>
    <row r="6" spans="2:8" ht="15" customHeight="1">
      <c r="B6" s="2"/>
      <c r="C6" s="8" t="s">
        <v>70</v>
      </c>
      <c r="D6" s="8" t="s">
        <v>70</v>
      </c>
      <c r="E6" s="8" t="s">
        <v>70</v>
      </c>
      <c r="F6" s="8" t="s">
        <v>70</v>
      </c>
      <c r="G6" s="8" t="s">
        <v>70</v>
      </c>
      <c r="H6" s="8" t="s">
        <v>70</v>
      </c>
    </row>
    <row r="7" spans="2:8" ht="15" customHeight="1">
      <c r="B7" s="6" t="s">
        <v>54</v>
      </c>
      <c r="C7" s="3">
        <v>12.436999999999999</v>
      </c>
      <c r="D7" s="3">
        <v>41.564999999999998</v>
      </c>
      <c r="E7" s="3">
        <v>11.178000000000001</v>
      </c>
      <c r="F7" s="3">
        <v>37.085999999999999</v>
      </c>
      <c r="G7" s="3">
        <v>11.528</v>
      </c>
      <c r="H7" s="3">
        <v>113.795</v>
      </c>
    </row>
    <row r="8" spans="2:8" ht="15" customHeight="1">
      <c r="B8" s="6" t="s">
        <v>55</v>
      </c>
      <c r="C8" s="3">
        <v>11.458</v>
      </c>
      <c r="D8" s="3">
        <v>41.527000000000001</v>
      </c>
      <c r="E8" s="3">
        <v>13.567</v>
      </c>
      <c r="F8" s="3">
        <v>40.015000000000001</v>
      </c>
      <c r="G8" s="3">
        <v>7.1779999999999999</v>
      </c>
      <c r="H8" s="3">
        <v>113.744</v>
      </c>
    </row>
    <row r="9" spans="2:8" ht="15" customHeight="1">
      <c r="B9" s="6" t="s">
        <v>56</v>
      </c>
      <c r="C9" s="3">
        <v>10.137</v>
      </c>
      <c r="D9" s="3">
        <v>39.19</v>
      </c>
      <c r="E9" s="3">
        <v>17.684999999999999</v>
      </c>
      <c r="F9" s="3">
        <v>43.05</v>
      </c>
      <c r="G9" s="3">
        <v>3.7629999999999999</v>
      </c>
      <c r="H9" s="3">
        <v>113.825</v>
      </c>
    </row>
    <row r="10" spans="2:8" ht="15" customHeight="1">
      <c r="B10" s="6" t="s">
        <v>57</v>
      </c>
      <c r="C10" s="3">
        <v>8.8550000000000004</v>
      </c>
      <c r="D10" s="3">
        <v>38.098999999999997</v>
      </c>
      <c r="E10" s="3">
        <v>16.157</v>
      </c>
      <c r="F10" s="3">
        <v>39.808999999999997</v>
      </c>
      <c r="G10" s="3">
        <v>4.0510000000000002</v>
      </c>
      <c r="H10" s="3">
        <v>106.97</v>
      </c>
    </row>
    <row r="11" spans="2:8" ht="15" customHeight="1">
      <c r="B11" s="6" t="s">
        <v>58</v>
      </c>
      <c r="C11" s="3">
        <v>11.996</v>
      </c>
      <c r="D11" s="3">
        <v>38.537999999999997</v>
      </c>
      <c r="E11" s="3">
        <v>17.707000000000001</v>
      </c>
      <c r="F11" s="3">
        <v>48.478999999999999</v>
      </c>
      <c r="G11" s="3">
        <v>-4.3979999999999997</v>
      </c>
      <c r="H11" s="3">
        <v>112.322</v>
      </c>
    </row>
    <row r="12" spans="2:8" ht="15" customHeight="1">
      <c r="B12" s="6" t="s">
        <v>59</v>
      </c>
      <c r="C12" s="3">
        <v>11.016999999999999</v>
      </c>
      <c r="D12" s="3">
        <v>38.177</v>
      </c>
      <c r="E12" s="3">
        <v>12.417</v>
      </c>
      <c r="F12" s="3">
        <v>54.173000000000002</v>
      </c>
      <c r="G12" s="3">
        <v>-7.782</v>
      </c>
      <c r="H12" s="3">
        <v>108.002</v>
      </c>
    </row>
    <row r="13" spans="2:8" ht="15" customHeight="1">
      <c r="B13" s="6" t="s">
        <v>60</v>
      </c>
      <c r="C13" s="3">
        <v>11.348000000000001</v>
      </c>
      <c r="D13" s="3">
        <v>37.856000000000002</v>
      </c>
      <c r="E13" s="3">
        <v>6.5839999999999996</v>
      </c>
      <c r="F13" s="3">
        <v>41.277999999999999</v>
      </c>
      <c r="G13" s="3">
        <v>7.86</v>
      </c>
      <c r="H13" s="3">
        <v>104.92700000000001</v>
      </c>
    </row>
    <row r="14" spans="2:8" ht="15" customHeight="1">
      <c r="B14" s="6" t="s">
        <v>61</v>
      </c>
      <c r="C14" s="3">
        <v>9.7080000000000002</v>
      </c>
      <c r="D14" s="3">
        <v>38.097999999999999</v>
      </c>
      <c r="E14" s="3">
        <v>12.944000000000001</v>
      </c>
      <c r="F14" s="3">
        <v>40.869</v>
      </c>
      <c r="G14" s="3">
        <v>5.44</v>
      </c>
      <c r="H14" s="3">
        <v>107.059</v>
      </c>
    </row>
    <row r="15" spans="2:8" ht="15" customHeight="1">
      <c r="B15" s="6" t="s">
        <v>62</v>
      </c>
      <c r="C15" s="3">
        <v>10.683999999999999</v>
      </c>
      <c r="D15" s="3">
        <v>37.048999999999999</v>
      </c>
      <c r="E15" s="3">
        <v>13.164999999999999</v>
      </c>
      <c r="F15" s="3">
        <v>41.924999999999997</v>
      </c>
      <c r="G15" s="3">
        <v>4.6399999999999997</v>
      </c>
      <c r="H15" s="3">
        <v>107.46299999999999</v>
      </c>
    </row>
    <row r="16" spans="2:8" ht="15" customHeight="1">
      <c r="B16" s="6" t="s">
        <v>63</v>
      </c>
      <c r="C16" s="3">
        <v>10.471</v>
      </c>
      <c r="D16" s="3">
        <v>38.098999999999997</v>
      </c>
      <c r="E16" s="3">
        <v>13.92</v>
      </c>
      <c r="F16" s="3">
        <v>45.936999999999998</v>
      </c>
      <c r="G16" s="3">
        <v>2.1139999999999999</v>
      </c>
      <c r="H16" s="3">
        <v>110.54</v>
      </c>
    </row>
    <row r="17" spans="2:8" ht="15" customHeight="1">
      <c r="B17" s="6" t="s">
        <v>64</v>
      </c>
      <c r="C17" s="3">
        <v>10.045</v>
      </c>
      <c r="D17" s="3">
        <v>40.457999999999998</v>
      </c>
      <c r="E17" s="3">
        <v>10.590999999999999</v>
      </c>
      <c r="F17" s="3">
        <v>46.558999999999997</v>
      </c>
      <c r="G17" s="3">
        <v>0.66700000000000004</v>
      </c>
      <c r="H17" s="3">
        <v>108.321</v>
      </c>
    </row>
    <row r="18" spans="2:8" ht="15" customHeight="1">
      <c r="B18" s="6" t="s">
        <v>65</v>
      </c>
      <c r="C18" s="3">
        <v>8.266</v>
      </c>
      <c r="D18" s="3">
        <v>37.804000000000002</v>
      </c>
      <c r="E18" s="3">
        <v>7.3979999999999997</v>
      </c>
      <c r="F18" s="3">
        <v>47.411999999999999</v>
      </c>
      <c r="G18" s="3">
        <v>-0.32200000000000001</v>
      </c>
      <c r="H18" s="3">
        <v>100.559</v>
      </c>
    </row>
    <row r="19" spans="2:8" ht="15" customHeight="1">
      <c r="B19" s="6" t="s">
        <v>66</v>
      </c>
      <c r="C19" s="3">
        <v>8.0579999999999998</v>
      </c>
      <c r="D19" s="3">
        <v>40.442999999999998</v>
      </c>
      <c r="E19" s="3">
        <v>7.3239999999999998</v>
      </c>
      <c r="F19" s="3">
        <v>43.438000000000002</v>
      </c>
      <c r="G19" s="3">
        <v>4.327</v>
      </c>
      <c r="H19" s="3">
        <v>103.59</v>
      </c>
    </row>
    <row r="20" spans="2:8" ht="15" customHeight="1">
      <c r="B20" s="6" t="s">
        <v>67</v>
      </c>
      <c r="C20" s="3">
        <v>8.7680000000000007</v>
      </c>
      <c r="D20" s="3">
        <v>40.887</v>
      </c>
      <c r="E20" s="3">
        <v>7.0640000000000001</v>
      </c>
      <c r="F20" s="3">
        <v>48.37</v>
      </c>
      <c r="G20" s="3">
        <v>1.2849999999999999</v>
      </c>
      <c r="H20" s="3">
        <v>106.374</v>
      </c>
    </row>
    <row r="21" spans="2:8" ht="15" customHeight="1">
      <c r="B21" s="6" t="s">
        <v>68</v>
      </c>
      <c r="C21" s="3">
        <v>8.8450000000000006</v>
      </c>
      <c r="D21" s="3">
        <v>40.523000000000003</v>
      </c>
      <c r="E21" s="3">
        <v>7.2380000000000004</v>
      </c>
      <c r="F21" s="3">
        <v>43.889000000000003</v>
      </c>
      <c r="G21" s="3">
        <v>5.9960000000000004</v>
      </c>
      <c r="H21" s="3">
        <v>106.491</v>
      </c>
    </row>
    <row r="22" spans="2:8" ht="15" customHeight="1">
      <c r="B22" s="7" t="s">
        <v>69</v>
      </c>
      <c r="C22" s="4">
        <v>7.2270000000000003</v>
      </c>
      <c r="D22" s="4">
        <v>40.761000000000003</v>
      </c>
      <c r="E22" s="4">
        <v>8.5449999999999999</v>
      </c>
      <c r="F22" s="4">
        <v>41.5</v>
      </c>
      <c r="G22" s="4">
        <v>6.8079999999999998</v>
      </c>
      <c r="H22" s="4">
        <v>104.84</v>
      </c>
    </row>
    <row r="23" spans="2:8" ht="15" customHeight="1">
      <c r="B23" s="10"/>
    </row>
    <row r="24" spans="2:8" ht="15" customHeight="1">
      <c r="B24" s="10" t="s">
        <v>88</v>
      </c>
    </row>
    <row r="25" spans="2:8" ht="15" customHeight="1">
      <c r="B25" s="11" t="s">
        <v>91</v>
      </c>
    </row>
    <row r="26" spans="2:8" ht="15" customHeight="1">
      <c r="B26" s="12" t="s">
        <v>97</v>
      </c>
    </row>
    <row r="27" spans="2:8" ht="15" customHeight="1">
      <c r="B27" s="13" t="s">
        <v>95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26"/>
  <sheetViews>
    <sheetView workbookViewId="0">
      <pane xSplit="2" ySplit="6" topLeftCell="C7" activePane="bottomRight" state="frozenSplit"/>
      <selection pane="topRight" activeCell="C1" sqref="C1"/>
      <selection pane="bottomLeft" activeCell="A7" sqref="A7"/>
      <selection pane="bottomRight"/>
    </sheetView>
  </sheetViews>
  <sheetFormatPr baseColWidth="10" defaultColWidth="11.5" defaultRowHeight="15"/>
  <cols>
    <col min="1" max="1" width="2.83203125" customWidth="1"/>
    <col min="2" max="2" width="9.6640625" customWidth="1"/>
    <col min="3" max="5" width="12.83203125" customWidth="1"/>
    <col min="6" max="6" width="14.5" customWidth="1"/>
    <col min="7" max="7" width="16.33203125" customWidth="1"/>
    <col min="8" max="8" width="12.83203125" customWidth="1"/>
  </cols>
  <sheetData>
    <row r="1" spans="2:8" ht="15" customHeight="1"/>
    <row r="2" spans="2:8" ht="18" customHeight="1">
      <c r="B2" s="9" t="s">
        <v>78</v>
      </c>
    </row>
    <row r="3" spans="2:8" ht="18" customHeight="1">
      <c r="B3" s="9" t="s">
        <v>104</v>
      </c>
    </row>
    <row r="4" spans="2:8" ht="15" customHeight="1"/>
    <row r="5" spans="2:8" ht="30" customHeight="1">
      <c r="B5" s="1"/>
      <c r="C5" s="5" t="s">
        <v>0</v>
      </c>
      <c r="D5" s="5" t="s">
        <v>1</v>
      </c>
      <c r="E5" s="5" t="s">
        <v>2</v>
      </c>
      <c r="F5" s="5" t="s">
        <v>3</v>
      </c>
      <c r="G5" s="5" t="s">
        <v>90</v>
      </c>
      <c r="H5" s="5" t="s">
        <v>4</v>
      </c>
    </row>
    <row r="6" spans="2:8" ht="15" customHeight="1">
      <c r="B6" s="2"/>
      <c r="C6" s="8" t="s">
        <v>70</v>
      </c>
      <c r="D6" s="8" t="s">
        <v>70</v>
      </c>
      <c r="E6" s="8" t="s">
        <v>70</v>
      </c>
      <c r="F6" s="8" t="s">
        <v>70</v>
      </c>
      <c r="G6" s="8" t="s">
        <v>70</v>
      </c>
      <c r="H6" s="8" t="s">
        <v>70</v>
      </c>
    </row>
    <row r="7" spans="2:8" ht="15" customHeight="1">
      <c r="B7" s="6" t="s">
        <v>54</v>
      </c>
      <c r="C7" s="3"/>
      <c r="D7" s="3">
        <v>54.750999999999998</v>
      </c>
      <c r="E7" s="3">
        <v>39.918999999999997</v>
      </c>
      <c r="F7" s="3">
        <v>0.372</v>
      </c>
      <c r="G7" s="3">
        <v>2E-3</v>
      </c>
      <c r="H7" s="3">
        <v>95.043999999999997</v>
      </c>
    </row>
    <row r="8" spans="2:8" ht="15" customHeight="1">
      <c r="B8" s="6" t="s">
        <v>55</v>
      </c>
      <c r="C8" s="3"/>
      <c r="D8" s="3">
        <v>51.859000000000002</v>
      </c>
      <c r="E8" s="3">
        <v>41.954000000000001</v>
      </c>
      <c r="F8" s="3">
        <v>0.47199999999999998</v>
      </c>
      <c r="G8" s="3">
        <v>-0.111</v>
      </c>
      <c r="H8" s="3">
        <v>94.174000000000007</v>
      </c>
    </row>
    <row r="9" spans="2:8" ht="15" customHeight="1">
      <c r="B9" s="6" t="s">
        <v>56</v>
      </c>
      <c r="C9" s="3"/>
      <c r="D9" s="3">
        <v>54.939</v>
      </c>
      <c r="E9" s="3">
        <v>44.122</v>
      </c>
      <c r="F9" s="3">
        <v>0.48099999999999998</v>
      </c>
      <c r="G9" s="3">
        <v>0.24399999999999999</v>
      </c>
      <c r="H9" s="3">
        <v>99.786000000000001</v>
      </c>
    </row>
    <row r="10" spans="2:8" ht="15" customHeight="1">
      <c r="B10" s="6" t="s">
        <v>57</v>
      </c>
      <c r="C10" s="3"/>
      <c r="D10" s="3">
        <v>55.701999999999998</v>
      </c>
      <c r="E10" s="3">
        <v>41.957999999999998</v>
      </c>
      <c r="F10" s="3">
        <v>0.48899999999999999</v>
      </c>
      <c r="G10" s="3">
        <v>4.4999999999999998E-2</v>
      </c>
      <c r="H10" s="3">
        <v>98.194000000000003</v>
      </c>
    </row>
    <row r="11" spans="2:8" ht="15" customHeight="1">
      <c r="B11" s="6" t="s">
        <v>58</v>
      </c>
      <c r="C11" s="3"/>
      <c r="D11" s="3">
        <v>54.156999999999996</v>
      </c>
      <c r="E11" s="3">
        <v>45.3</v>
      </c>
      <c r="F11" s="3">
        <v>0.52600000000000002</v>
      </c>
      <c r="G11" s="3">
        <v>0.17199999999999999</v>
      </c>
      <c r="H11" s="3">
        <v>100.15600000000001</v>
      </c>
    </row>
    <row r="12" spans="2:8" ht="15" customHeight="1">
      <c r="B12" s="6" t="s">
        <v>59</v>
      </c>
      <c r="C12" s="3"/>
      <c r="D12" s="3">
        <v>51.204999999999998</v>
      </c>
      <c r="E12" s="3">
        <v>47.366999999999997</v>
      </c>
      <c r="F12" s="3">
        <v>0.56899999999999995</v>
      </c>
      <c r="G12" s="3">
        <v>0</v>
      </c>
      <c r="H12" s="3">
        <v>99.141000000000005</v>
      </c>
    </row>
    <row r="13" spans="2:8" ht="15" customHeight="1">
      <c r="B13" s="6" t="s">
        <v>60</v>
      </c>
      <c r="C13" s="3"/>
      <c r="D13" s="3">
        <v>38.405000000000001</v>
      </c>
      <c r="E13" s="3">
        <v>44.942999999999998</v>
      </c>
      <c r="F13" s="3">
        <v>0.64700000000000002</v>
      </c>
      <c r="G13" s="3">
        <v>0</v>
      </c>
      <c r="H13" s="3">
        <v>83.995000000000005</v>
      </c>
    </row>
    <row r="14" spans="2:8" ht="15" customHeight="1">
      <c r="B14" s="6" t="s">
        <v>61</v>
      </c>
      <c r="C14" s="3"/>
      <c r="D14" s="3">
        <v>33.427999999999997</v>
      </c>
      <c r="E14" s="3">
        <v>49.814999999999998</v>
      </c>
      <c r="F14" s="3">
        <v>0.68400000000000005</v>
      </c>
      <c r="G14" s="3">
        <v>0</v>
      </c>
      <c r="H14" s="3">
        <v>83.927000000000007</v>
      </c>
    </row>
    <row r="15" spans="2:8" ht="15" customHeight="1">
      <c r="B15" s="6" t="s">
        <v>62</v>
      </c>
      <c r="C15" s="3"/>
      <c r="D15" s="3">
        <v>34.393999999999998</v>
      </c>
      <c r="E15" s="3">
        <v>48.124000000000002</v>
      </c>
      <c r="F15" s="3">
        <v>0.80900000000000005</v>
      </c>
      <c r="G15" s="3">
        <v>0</v>
      </c>
      <c r="H15" s="3">
        <v>83.326999999999998</v>
      </c>
    </row>
    <row r="16" spans="2:8" ht="15" customHeight="1">
      <c r="B16" s="6" t="s">
        <v>63</v>
      </c>
      <c r="C16" s="3"/>
      <c r="D16" s="3">
        <v>42.298000000000002</v>
      </c>
      <c r="E16" s="3">
        <v>46.908000000000001</v>
      </c>
      <c r="F16" s="3">
        <v>0.96699999999999997</v>
      </c>
      <c r="G16" s="3">
        <v>0</v>
      </c>
      <c r="H16" s="3">
        <v>90.173000000000002</v>
      </c>
    </row>
    <row r="17" spans="2:8" ht="15" customHeight="1">
      <c r="B17" s="6" t="s">
        <v>64</v>
      </c>
      <c r="C17" s="3"/>
      <c r="D17" s="3">
        <v>45.872</v>
      </c>
      <c r="E17" s="3">
        <v>86.125</v>
      </c>
      <c r="F17" s="3">
        <v>1.1100000000000001</v>
      </c>
      <c r="G17" s="3">
        <v>0</v>
      </c>
      <c r="H17" s="3">
        <v>133.107</v>
      </c>
    </row>
    <row r="18" spans="2:8" ht="15" customHeight="1">
      <c r="B18" s="6" t="s">
        <v>65</v>
      </c>
      <c r="C18" s="3"/>
      <c r="D18" s="3">
        <v>36.713999999999999</v>
      </c>
      <c r="E18" s="3">
        <v>108.691</v>
      </c>
      <c r="F18" s="3">
        <v>1.3109999999999999</v>
      </c>
      <c r="G18" s="3">
        <v>0</v>
      </c>
      <c r="H18" s="3">
        <v>146.71700000000001</v>
      </c>
    </row>
    <row r="19" spans="2:8" ht="15" customHeight="1">
      <c r="B19" s="6" t="s">
        <v>66</v>
      </c>
      <c r="C19" s="3"/>
      <c r="D19" s="3">
        <v>39.927999999999997</v>
      </c>
      <c r="E19" s="3">
        <v>106.246</v>
      </c>
      <c r="F19" s="3">
        <v>1.48</v>
      </c>
      <c r="G19" s="3">
        <v>-1E-3</v>
      </c>
      <c r="H19" s="3">
        <v>147.65299999999999</v>
      </c>
    </row>
    <row r="20" spans="2:8" ht="15" customHeight="1">
      <c r="B20" s="6" t="s">
        <v>67</v>
      </c>
      <c r="C20" s="3"/>
      <c r="D20" s="3">
        <v>39.86</v>
      </c>
      <c r="E20" s="3">
        <v>110.56699999999999</v>
      </c>
      <c r="F20" s="3">
        <v>1.5820000000000001</v>
      </c>
      <c r="G20" s="3">
        <v>-1E-3</v>
      </c>
      <c r="H20" s="3">
        <v>152.00899999999999</v>
      </c>
    </row>
    <row r="21" spans="2:8" ht="15" customHeight="1">
      <c r="B21" s="6" t="s">
        <v>68</v>
      </c>
      <c r="C21" s="3"/>
      <c r="D21" s="3">
        <v>39.152000000000001</v>
      </c>
      <c r="E21" s="3">
        <v>91.281000000000006</v>
      </c>
      <c r="F21" s="3">
        <v>1.7</v>
      </c>
      <c r="G21" s="3">
        <v>0</v>
      </c>
      <c r="H21" s="3">
        <v>132.13300000000001</v>
      </c>
    </row>
    <row r="22" spans="2:8" ht="15" customHeight="1">
      <c r="B22" s="7" t="s">
        <v>69</v>
      </c>
      <c r="C22" s="4"/>
      <c r="D22" s="4">
        <v>40.526000000000003</v>
      </c>
      <c r="E22" s="4">
        <v>96.960999999999999</v>
      </c>
      <c r="F22" s="4">
        <v>1.8919999999999999</v>
      </c>
      <c r="G22" s="4">
        <v>5.0000000000000001E-3</v>
      </c>
      <c r="H22" s="4">
        <v>139.38300000000001</v>
      </c>
    </row>
    <row r="23" spans="2:8" ht="15" customHeight="1">
      <c r="B23" s="10"/>
    </row>
    <row r="24" spans="2:8" ht="15" customHeight="1">
      <c r="B24" s="10" t="s">
        <v>88</v>
      </c>
    </row>
    <row r="25" spans="2:8" ht="15" customHeight="1">
      <c r="B25" s="11" t="s">
        <v>91</v>
      </c>
    </row>
    <row r="26" spans="2:8" ht="15" customHeight="1">
      <c r="B26" s="12" t="s">
        <v>101</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74"/>
  <sheetViews>
    <sheetView workbookViewId="0">
      <pane xSplit="2" ySplit="6" topLeftCell="C7" activePane="bottomRight" state="frozenSplit"/>
      <selection pane="topRight" activeCell="C1" sqref="C1"/>
      <selection pane="bottomLeft" activeCell="A7" sqref="A7"/>
      <selection pane="bottomRight" activeCell="J70" sqref="J70"/>
    </sheetView>
  </sheetViews>
  <sheetFormatPr baseColWidth="10" defaultColWidth="11.5" defaultRowHeight="15"/>
  <cols>
    <col min="1" max="1" width="2.83203125" customWidth="1"/>
    <col min="2" max="2" width="9.6640625" customWidth="1"/>
    <col min="3" max="10" width="17.1640625" customWidth="1"/>
  </cols>
  <sheetData>
    <row r="1" spans="2:10" ht="15" customHeight="1"/>
    <row r="2" spans="2:10" ht="18" customHeight="1">
      <c r="B2" s="9" t="s">
        <v>87</v>
      </c>
    </row>
    <row r="3" spans="2:10" ht="18" customHeight="1">
      <c r="B3" s="9" t="s">
        <v>105</v>
      </c>
    </row>
    <row r="4" spans="2:10" ht="15" customHeight="1"/>
    <row r="5" spans="2:10" ht="30" customHeight="1">
      <c r="B5" s="1"/>
      <c r="C5" s="5" t="s">
        <v>79</v>
      </c>
      <c r="D5" s="5" t="s">
        <v>80</v>
      </c>
      <c r="E5" s="5" t="s">
        <v>81</v>
      </c>
      <c r="F5" s="5" t="s">
        <v>82</v>
      </c>
      <c r="G5" s="5" t="s">
        <v>83</v>
      </c>
      <c r="H5" s="5" t="s">
        <v>84</v>
      </c>
      <c r="I5" s="5" t="s">
        <v>85</v>
      </c>
      <c r="J5" s="5" t="s">
        <v>86</v>
      </c>
    </row>
    <row r="6" spans="2:10" ht="15" customHeight="1">
      <c r="B6" s="2"/>
      <c r="C6" s="8" t="s">
        <v>70</v>
      </c>
      <c r="D6" s="8" t="s">
        <v>70</v>
      </c>
      <c r="E6" s="8" t="s">
        <v>70</v>
      </c>
      <c r="F6" s="8" t="s">
        <v>70</v>
      </c>
      <c r="G6" s="8" t="s">
        <v>70</v>
      </c>
      <c r="H6" s="8" t="s">
        <v>70</v>
      </c>
      <c r="I6" s="8" t="s">
        <v>70</v>
      </c>
      <c r="J6" s="8" t="s">
        <v>70</v>
      </c>
    </row>
    <row r="7" spans="2:10" ht="15" customHeight="1">
      <c r="B7" s="6" t="s">
        <v>5</v>
      </c>
      <c r="C7" s="3">
        <v>568.20000000000005</v>
      </c>
      <c r="D7" s="3">
        <v>378.1</v>
      </c>
      <c r="E7" s="3">
        <v>159.4</v>
      </c>
      <c r="F7" s="3">
        <v>99.6</v>
      </c>
      <c r="G7" s="3">
        <v>91.4</v>
      </c>
      <c r="H7" s="3">
        <v>39.1</v>
      </c>
      <c r="I7" s="3">
        <v>4.8</v>
      </c>
      <c r="J7" s="3">
        <v>1336.6</v>
      </c>
    </row>
    <row r="8" spans="2:10" ht="15" customHeight="1">
      <c r="B8" s="6" t="s">
        <v>7</v>
      </c>
      <c r="C8" s="3">
        <v>579.4</v>
      </c>
      <c r="D8" s="3">
        <v>389.2</v>
      </c>
      <c r="E8" s="3">
        <v>162.69999999999999</v>
      </c>
      <c r="F8" s="3">
        <v>99.1</v>
      </c>
      <c r="G8" s="3">
        <v>94.7</v>
      </c>
      <c r="H8" s="3">
        <v>38.9</v>
      </c>
      <c r="I8" s="3">
        <v>5.6</v>
      </c>
      <c r="J8" s="3">
        <v>1365.8</v>
      </c>
    </row>
    <row r="9" spans="2:10" ht="15" customHeight="1">
      <c r="B9" s="6" t="s">
        <v>8</v>
      </c>
      <c r="C9" s="3">
        <v>594.9</v>
      </c>
      <c r="D9" s="3">
        <v>410.4</v>
      </c>
      <c r="E9" s="3">
        <v>177.2</v>
      </c>
      <c r="F9" s="3">
        <v>103.9</v>
      </c>
      <c r="G9" s="3">
        <v>101.6</v>
      </c>
      <c r="H9" s="3">
        <v>42.3</v>
      </c>
      <c r="I9" s="3">
        <v>4.7</v>
      </c>
      <c r="J9" s="3">
        <v>1432.2</v>
      </c>
    </row>
    <row r="10" spans="2:10" ht="15" customHeight="1">
      <c r="B10" s="6" t="s">
        <v>9</v>
      </c>
      <c r="C10" s="3">
        <v>638.6</v>
      </c>
      <c r="D10" s="3">
        <v>438.2</v>
      </c>
      <c r="E10" s="3">
        <v>185.5</v>
      </c>
      <c r="F10" s="3">
        <v>110.8</v>
      </c>
      <c r="G10" s="3">
        <v>111.2</v>
      </c>
      <c r="H10" s="3">
        <v>45.7</v>
      </c>
      <c r="I10" s="3">
        <v>5.8</v>
      </c>
      <c r="J10" s="3">
        <v>1531.4</v>
      </c>
    </row>
    <row r="11" spans="2:10" ht="15" customHeight="1">
      <c r="B11" s="6" t="s">
        <v>10</v>
      </c>
      <c r="C11" s="3">
        <v>678.2</v>
      </c>
      <c r="D11" s="3">
        <v>460.7</v>
      </c>
      <c r="E11" s="3">
        <v>197.9</v>
      </c>
      <c r="F11" s="3">
        <v>115.9</v>
      </c>
      <c r="G11" s="3">
        <v>123.4</v>
      </c>
      <c r="H11" s="3">
        <v>47.3</v>
      </c>
      <c r="I11" s="3">
        <v>6.4</v>
      </c>
      <c r="J11" s="3">
        <v>1625.3</v>
      </c>
    </row>
    <row r="12" spans="2:10" ht="15" customHeight="1">
      <c r="B12" s="6" t="s">
        <v>11</v>
      </c>
      <c r="C12" s="3">
        <v>702.2</v>
      </c>
      <c r="D12" s="3">
        <v>485.3</v>
      </c>
      <c r="E12" s="3">
        <v>218.4</v>
      </c>
      <c r="F12" s="3">
        <v>124.6</v>
      </c>
      <c r="G12" s="3">
        <v>132.1</v>
      </c>
      <c r="H12" s="3">
        <v>48.4</v>
      </c>
      <c r="I12" s="3">
        <v>6.5</v>
      </c>
      <c r="J12" s="3">
        <v>1713.1</v>
      </c>
    </row>
    <row r="13" spans="2:10" ht="15" customHeight="1">
      <c r="B13" s="6" t="s">
        <v>12</v>
      </c>
      <c r="C13" s="3">
        <v>739.6</v>
      </c>
      <c r="D13" s="3">
        <v>503.6</v>
      </c>
      <c r="E13" s="3">
        <v>237.8</v>
      </c>
      <c r="F13" s="3">
        <v>136.19999999999999</v>
      </c>
      <c r="G13" s="3">
        <v>137.5</v>
      </c>
      <c r="H13" s="3">
        <v>50.7</v>
      </c>
      <c r="I13" s="3">
        <v>6.9</v>
      </c>
      <c r="J13" s="3">
        <v>1805.8</v>
      </c>
    </row>
    <row r="14" spans="2:10" ht="15" customHeight="1">
      <c r="B14" s="6" t="s">
        <v>13</v>
      </c>
      <c r="C14" s="3">
        <v>779.6</v>
      </c>
      <c r="D14" s="3">
        <v>521.4</v>
      </c>
      <c r="E14" s="3">
        <v>249</v>
      </c>
      <c r="F14" s="3">
        <v>157.1</v>
      </c>
      <c r="G14" s="3">
        <v>143</v>
      </c>
      <c r="H14" s="3">
        <v>52.6</v>
      </c>
      <c r="I14" s="3">
        <v>8.6999999999999993</v>
      </c>
      <c r="J14" s="3">
        <v>1898.9</v>
      </c>
    </row>
    <row r="15" spans="2:10" ht="15" customHeight="1">
      <c r="B15" s="6" t="s">
        <v>14</v>
      </c>
      <c r="C15" s="3">
        <v>810.3</v>
      </c>
      <c r="D15" s="3">
        <v>543.29999999999995</v>
      </c>
      <c r="E15" s="3">
        <v>268.8</v>
      </c>
      <c r="F15" s="3">
        <v>169.4</v>
      </c>
      <c r="G15" s="3">
        <v>168.1</v>
      </c>
      <c r="H15" s="3">
        <v>59.6</v>
      </c>
      <c r="I15" s="3">
        <v>12.3</v>
      </c>
      <c r="J15" s="3">
        <v>2025.9</v>
      </c>
    </row>
    <row r="16" spans="2:10" ht="15" customHeight="1">
      <c r="B16" s="6" t="s">
        <v>15</v>
      </c>
      <c r="C16" s="3">
        <v>833.1</v>
      </c>
      <c r="D16" s="3">
        <v>581.29999999999995</v>
      </c>
      <c r="E16" s="3">
        <v>285.3</v>
      </c>
      <c r="F16" s="3">
        <v>189.8</v>
      </c>
      <c r="G16" s="3">
        <v>187.1</v>
      </c>
      <c r="H16" s="3">
        <v>61.2</v>
      </c>
      <c r="I16" s="3">
        <v>14</v>
      </c>
      <c r="J16" s="3">
        <v>2137.6</v>
      </c>
    </row>
    <row r="17" spans="2:10" ht="15" customHeight="1">
      <c r="B17" s="6" t="s">
        <v>16</v>
      </c>
      <c r="C17" s="3">
        <v>853.3</v>
      </c>
      <c r="D17" s="3">
        <v>599.29999999999995</v>
      </c>
      <c r="E17" s="3">
        <v>292.8</v>
      </c>
      <c r="F17" s="3">
        <v>209.1</v>
      </c>
      <c r="G17" s="3">
        <v>191.9</v>
      </c>
      <c r="H17" s="3">
        <v>65.5</v>
      </c>
      <c r="I17" s="3">
        <v>15.9</v>
      </c>
      <c r="J17" s="3">
        <v>2210.3000000000002</v>
      </c>
    </row>
    <row r="18" spans="2:10" ht="15" customHeight="1">
      <c r="B18" s="6" t="s">
        <v>17</v>
      </c>
      <c r="C18" s="3">
        <v>883.5</v>
      </c>
      <c r="D18" s="3">
        <v>636.20000000000005</v>
      </c>
      <c r="E18" s="3">
        <v>320.2</v>
      </c>
      <c r="F18" s="3">
        <v>221.7</v>
      </c>
      <c r="G18" s="3">
        <v>189.1</v>
      </c>
      <c r="H18" s="3">
        <v>65.7</v>
      </c>
      <c r="I18" s="3">
        <v>18.7</v>
      </c>
      <c r="J18" s="3">
        <v>2331.1999999999998</v>
      </c>
    </row>
    <row r="19" spans="2:10" ht="15" customHeight="1">
      <c r="B19" s="6" t="s">
        <v>18</v>
      </c>
      <c r="C19" s="3">
        <v>927.1</v>
      </c>
      <c r="D19" s="3">
        <v>656</v>
      </c>
      <c r="E19" s="3">
        <v>337.9</v>
      </c>
      <c r="F19" s="3">
        <v>239.1</v>
      </c>
      <c r="G19" s="3">
        <v>202.5</v>
      </c>
      <c r="H19" s="3">
        <v>68.3</v>
      </c>
      <c r="I19" s="3">
        <v>24.1</v>
      </c>
      <c r="J19" s="3">
        <v>2447.8000000000002</v>
      </c>
    </row>
    <row r="20" spans="2:10" ht="15" customHeight="1">
      <c r="B20" s="6" t="s">
        <v>19</v>
      </c>
      <c r="C20" s="3">
        <v>943</v>
      </c>
      <c r="D20" s="3">
        <v>710.9</v>
      </c>
      <c r="E20" s="3">
        <v>371.3</v>
      </c>
      <c r="F20" s="3">
        <v>272.60000000000002</v>
      </c>
      <c r="G20" s="3">
        <v>215.4</v>
      </c>
      <c r="H20" s="3">
        <v>71.900000000000006</v>
      </c>
      <c r="I20" s="3">
        <v>30.1</v>
      </c>
      <c r="J20" s="3">
        <v>2615.1999999999998</v>
      </c>
    </row>
    <row r="21" spans="2:10" ht="15" customHeight="1">
      <c r="B21" s="6" t="s">
        <v>20</v>
      </c>
      <c r="C21" s="3">
        <v>964.7</v>
      </c>
      <c r="D21" s="3">
        <v>731</v>
      </c>
      <c r="E21" s="3">
        <v>392.6</v>
      </c>
      <c r="F21" s="3">
        <v>279.60000000000002</v>
      </c>
      <c r="G21" s="3">
        <v>222.8</v>
      </c>
      <c r="H21" s="3">
        <v>71.3</v>
      </c>
      <c r="I21" s="3">
        <v>32.799999999999997</v>
      </c>
      <c r="J21" s="3">
        <v>2694.8</v>
      </c>
    </row>
    <row r="22" spans="2:10" ht="15" customHeight="1">
      <c r="B22" s="6" t="s">
        <v>21</v>
      </c>
      <c r="C22" s="3">
        <v>934</v>
      </c>
      <c r="D22" s="3">
        <v>752.8</v>
      </c>
      <c r="E22" s="3">
        <v>410</v>
      </c>
      <c r="F22" s="3">
        <v>296.5</v>
      </c>
      <c r="G22" s="3">
        <v>234.5</v>
      </c>
      <c r="H22" s="3">
        <v>71.900000000000006</v>
      </c>
      <c r="I22" s="3">
        <v>31.2</v>
      </c>
      <c r="J22" s="3">
        <v>2730.8</v>
      </c>
    </row>
    <row r="23" spans="2:10" ht="15" customHeight="1">
      <c r="B23" s="6" t="s">
        <v>22</v>
      </c>
      <c r="C23" s="3">
        <v>980.2</v>
      </c>
      <c r="D23" s="3">
        <v>802.1</v>
      </c>
      <c r="E23" s="3">
        <v>441.8</v>
      </c>
      <c r="F23" s="3">
        <v>322.10000000000002</v>
      </c>
      <c r="G23" s="3">
        <v>249.3</v>
      </c>
      <c r="H23" s="3">
        <v>77</v>
      </c>
      <c r="I23" s="3">
        <v>33.6</v>
      </c>
      <c r="J23" s="3">
        <v>2905.9</v>
      </c>
    </row>
    <row r="24" spans="2:10" ht="15" customHeight="1">
      <c r="B24" s="6" t="s">
        <v>23</v>
      </c>
      <c r="C24" s="3">
        <v>1011.3</v>
      </c>
      <c r="D24" s="3">
        <v>823.1</v>
      </c>
      <c r="E24" s="3">
        <v>461.2</v>
      </c>
      <c r="F24" s="3">
        <v>328.4</v>
      </c>
      <c r="G24" s="3">
        <v>247.7</v>
      </c>
      <c r="H24" s="3">
        <v>78.400000000000006</v>
      </c>
      <c r="I24" s="3">
        <v>35.1</v>
      </c>
      <c r="J24" s="3">
        <v>2985.1</v>
      </c>
    </row>
    <row r="25" spans="2:10" ht="15" customHeight="1">
      <c r="B25" s="6" t="s">
        <v>24</v>
      </c>
      <c r="C25" s="3">
        <v>1019.3</v>
      </c>
      <c r="D25" s="3">
        <v>857.3</v>
      </c>
      <c r="E25" s="3">
        <v>463.2</v>
      </c>
      <c r="F25" s="3">
        <v>336</v>
      </c>
      <c r="G25" s="3">
        <v>259.60000000000002</v>
      </c>
      <c r="H25" s="3">
        <v>82</v>
      </c>
      <c r="I25" s="3">
        <v>35.700000000000003</v>
      </c>
      <c r="J25" s="3">
        <v>3053.1</v>
      </c>
    </row>
    <row r="26" spans="2:10" ht="15" customHeight="1">
      <c r="B26" s="6" t="s">
        <v>25</v>
      </c>
      <c r="C26" s="3">
        <v>1059</v>
      </c>
      <c r="D26" s="3">
        <v>869.4</v>
      </c>
      <c r="E26" s="3">
        <v>480.2</v>
      </c>
      <c r="F26" s="3">
        <v>334.1</v>
      </c>
      <c r="G26" s="3">
        <v>264.2</v>
      </c>
      <c r="H26" s="3">
        <v>84.6</v>
      </c>
      <c r="I26" s="3">
        <v>40</v>
      </c>
      <c r="J26" s="3">
        <v>3131.4</v>
      </c>
    </row>
    <row r="27" spans="2:10" ht="15" customHeight="1">
      <c r="B27" s="6" t="s">
        <v>26</v>
      </c>
      <c r="C27" s="3">
        <v>1060.4000000000001</v>
      </c>
      <c r="D27" s="3">
        <v>880.8</v>
      </c>
      <c r="E27" s="3">
        <v>502.9</v>
      </c>
      <c r="F27" s="3">
        <v>322</v>
      </c>
      <c r="G27" s="3">
        <v>255.7</v>
      </c>
      <c r="H27" s="3">
        <v>83.3</v>
      </c>
      <c r="I27" s="3">
        <v>41.3</v>
      </c>
      <c r="J27" s="3">
        <v>3146.3</v>
      </c>
    </row>
    <row r="28" spans="2:10" ht="15" customHeight="1">
      <c r="B28" s="6" t="s">
        <v>27</v>
      </c>
      <c r="C28" s="3">
        <v>1077.8</v>
      </c>
      <c r="D28" s="3">
        <v>939.4</v>
      </c>
      <c r="E28" s="3">
        <v>537.20000000000005</v>
      </c>
      <c r="F28" s="3">
        <v>300.10000000000002</v>
      </c>
      <c r="G28" s="3">
        <v>260</v>
      </c>
      <c r="H28" s="3">
        <v>84.5</v>
      </c>
      <c r="I28" s="3">
        <v>38.6</v>
      </c>
      <c r="J28" s="3">
        <v>3237.6</v>
      </c>
    </row>
    <row r="29" spans="2:10" ht="15" customHeight="1">
      <c r="B29" s="6" t="s">
        <v>28</v>
      </c>
      <c r="C29" s="3">
        <v>1002.5</v>
      </c>
      <c r="D29" s="3">
        <v>896.5</v>
      </c>
      <c r="E29" s="3">
        <v>541.5</v>
      </c>
      <c r="F29" s="3">
        <v>304.60000000000002</v>
      </c>
      <c r="G29" s="3">
        <v>254.6</v>
      </c>
      <c r="H29" s="3">
        <v>82.3</v>
      </c>
      <c r="I29" s="3">
        <v>40.799999999999997</v>
      </c>
      <c r="J29" s="3">
        <v>3122.7</v>
      </c>
    </row>
    <row r="30" spans="2:10" ht="15" customHeight="1">
      <c r="B30" s="6" t="s">
        <v>29</v>
      </c>
      <c r="C30" s="3">
        <v>1045.5999999999999</v>
      </c>
      <c r="D30" s="3">
        <v>904.9</v>
      </c>
      <c r="E30" s="3">
        <v>571.6</v>
      </c>
      <c r="F30" s="3">
        <v>313.89999999999998</v>
      </c>
      <c r="G30" s="3">
        <v>258</v>
      </c>
      <c r="H30" s="3">
        <v>83.3</v>
      </c>
      <c r="I30" s="3">
        <v>43.8</v>
      </c>
      <c r="J30" s="3">
        <v>3221.2</v>
      </c>
    </row>
    <row r="31" spans="2:10" ht="15" customHeight="1">
      <c r="B31" s="6" t="s">
        <v>30</v>
      </c>
      <c r="C31" s="3">
        <v>1080.3</v>
      </c>
      <c r="D31" s="3">
        <v>936.2</v>
      </c>
      <c r="E31" s="3">
        <v>600.29999999999995</v>
      </c>
      <c r="F31" s="3">
        <v>343.1</v>
      </c>
      <c r="G31" s="3">
        <v>280.2</v>
      </c>
      <c r="H31" s="3">
        <v>85</v>
      </c>
      <c r="I31" s="3">
        <v>45.8</v>
      </c>
      <c r="J31" s="3">
        <v>3370.7</v>
      </c>
    </row>
    <row r="32" spans="2:10" ht="15" customHeight="1">
      <c r="B32" s="6" t="s">
        <v>31</v>
      </c>
      <c r="C32" s="3">
        <v>1108.7</v>
      </c>
      <c r="D32" s="3">
        <v>926.4</v>
      </c>
      <c r="E32" s="3">
        <v>604.79999999999995</v>
      </c>
      <c r="F32" s="3">
        <v>344.8</v>
      </c>
      <c r="G32" s="3">
        <v>284.5</v>
      </c>
      <c r="H32" s="3">
        <v>86.4</v>
      </c>
      <c r="I32" s="3">
        <v>47</v>
      </c>
      <c r="J32" s="3">
        <v>3402.5</v>
      </c>
    </row>
    <row r="33" spans="2:10" ht="15" customHeight="1">
      <c r="B33" s="6" t="s">
        <v>32</v>
      </c>
      <c r="C33" s="3">
        <v>1137.0999999999999</v>
      </c>
      <c r="D33" s="3">
        <v>979.5</v>
      </c>
      <c r="E33" s="3">
        <v>620</v>
      </c>
      <c r="F33" s="3">
        <v>358.4</v>
      </c>
      <c r="G33" s="3">
        <v>284.7</v>
      </c>
      <c r="H33" s="3">
        <v>85.4</v>
      </c>
      <c r="I33" s="3">
        <v>49.3</v>
      </c>
      <c r="J33" s="3">
        <v>3514.4</v>
      </c>
    </row>
    <row r="34" spans="2:10" ht="15" customHeight="1">
      <c r="B34" s="6" t="s">
        <v>33</v>
      </c>
      <c r="C34" s="3">
        <v>1143.3</v>
      </c>
      <c r="D34" s="3">
        <v>1014.5</v>
      </c>
      <c r="E34" s="3">
        <v>642.4</v>
      </c>
      <c r="F34" s="3">
        <v>391.1</v>
      </c>
      <c r="G34" s="3">
        <v>291.10000000000002</v>
      </c>
      <c r="H34" s="3">
        <v>89.5</v>
      </c>
      <c r="I34" s="3">
        <v>51.1</v>
      </c>
      <c r="J34" s="3">
        <v>3623</v>
      </c>
    </row>
    <row r="35" spans="2:10" ht="15" customHeight="1">
      <c r="B35" s="6" t="s">
        <v>34</v>
      </c>
      <c r="C35" s="3">
        <v>1194.2</v>
      </c>
      <c r="D35" s="3">
        <v>1090.2</v>
      </c>
      <c r="E35" s="3">
        <v>678.3</v>
      </c>
      <c r="F35" s="3">
        <v>427.7</v>
      </c>
      <c r="G35" s="3">
        <v>299.3</v>
      </c>
      <c r="H35" s="3">
        <v>92</v>
      </c>
      <c r="I35" s="3">
        <v>51</v>
      </c>
      <c r="J35" s="3">
        <v>3832.7</v>
      </c>
    </row>
    <row r="36" spans="2:10" ht="15" customHeight="1">
      <c r="B36" s="6" t="s">
        <v>35</v>
      </c>
      <c r="C36" s="3">
        <v>1230.4000000000001</v>
      </c>
      <c r="D36" s="3">
        <v>1099.8</v>
      </c>
      <c r="E36" s="3">
        <v>691.8</v>
      </c>
      <c r="F36" s="3">
        <v>473</v>
      </c>
      <c r="G36" s="3">
        <v>301.89999999999998</v>
      </c>
      <c r="H36" s="3">
        <v>96.6</v>
      </c>
      <c r="I36" s="3">
        <v>52.5</v>
      </c>
      <c r="J36" s="3">
        <v>3945.9</v>
      </c>
    </row>
    <row r="37" spans="2:10" ht="15" customHeight="1">
      <c r="B37" s="6" t="s">
        <v>36</v>
      </c>
      <c r="C37" s="3">
        <v>1228.5999999999999</v>
      </c>
      <c r="D37" s="3">
        <v>1090.9000000000001</v>
      </c>
      <c r="E37" s="3">
        <v>702</v>
      </c>
      <c r="F37" s="3">
        <v>488.4</v>
      </c>
      <c r="G37" s="3">
        <v>287.39999999999998</v>
      </c>
      <c r="H37" s="3">
        <v>97.6</v>
      </c>
      <c r="I37" s="3">
        <v>55</v>
      </c>
      <c r="J37" s="3">
        <v>3949.9</v>
      </c>
    </row>
    <row r="38" spans="2:10" ht="15" customHeight="1">
      <c r="B38" s="6" t="s">
        <v>37</v>
      </c>
      <c r="C38" s="3">
        <v>1219.4000000000001</v>
      </c>
      <c r="D38" s="3">
        <v>1108.7</v>
      </c>
      <c r="E38" s="3">
        <v>715</v>
      </c>
      <c r="F38" s="3">
        <v>496.4</v>
      </c>
      <c r="G38" s="3">
        <v>296.89999999999998</v>
      </c>
      <c r="H38" s="3">
        <v>89.3</v>
      </c>
      <c r="I38" s="3">
        <v>56.9</v>
      </c>
      <c r="J38" s="3">
        <v>3982.7</v>
      </c>
    </row>
    <row r="39" spans="2:10" ht="15" customHeight="1">
      <c r="B39" s="6" t="s">
        <v>38</v>
      </c>
      <c r="C39" s="3">
        <v>1249.0999999999999</v>
      </c>
      <c r="D39" s="3">
        <v>1104.7</v>
      </c>
      <c r="E39" s="3">
        <v>758.5</v>
      </c>
      <c r="F39" s="3">
        <v>522</v>
      </c>
      <c r="G39" s="3">
        <v>300.10000000000002</v>
      </c>
      <c r="H39" s="3">
        <v>90.1</v>
      </c>
      <c r="I39" s="3">
        <v>57.2</v>
      </c>
      <c r="J39" s="3">
        <v>4081.8</v>
      </c>
    </row>
    <row r="40" spans="2:10" ht="15" customHeight="1">
      <c r="B40" s="6" t="s">
        <v>39</v>
      </c>
      <c r="C40" s="3">
        <v>1276.7</v>
      </c>
      <c r="D40" s="3">
        <v>1102.5</v>
      </c>
      <c r="E40" s="3">
        <v>793.2</v>
      </c>
      <c r="F40" s="3">
        <v>554.1</v>
      </c>
      <c r="G40" s="3">
        <v>304.8</v>
      </c>
      <c r="H40" s="3">
        <v>92</v>
      </c>
      <c r="I40" s="3">
        <v>58.5</v>
      </c>
      <c r="J40" s="3">
        <v>4181.8999999999996</v>
      </c>
    </row>
    <row r="41" spans="2:10" ht="15" customHeight="1">
      <c r="B41" s="6" t="s">
        <v>40</v>
      </c>
      <c r="C41" s="3">
        <v>1314.6</v>
      </c>
      <c r="D41" s="3">
        <v>1152.2</v>
      </c>
      <c r="E41" s="3">
        <v>847.3</v>
      </c>
      <c r="F41" s="3">
        <v>592.70000000000005</v>
      </c>
      <c r="G41" s="3">
        <v>304.39999999999998</v>
      </c>
      <c r="H41" s="3">
        <v>92.4</v>
      </c>
      <c r="I41" s="3">
        <v>61.8</v>
      </c>
      <c r="J41" s="3">
        <v>4365.3999999999996</v>
      </c>
    </row>
    <row r="42" spans="2:10" ht="15" customHeight="1">
      <c r="B42" s="6" t="s">
        <v>41</v>
      </c>
      <c r="C42" s="3">
        <v>1351.2</v>
      </c>
      <c r="D42" s="3">
        <v>1184.9000000000001</v>
      </c>
      <c r="E42" s="3">
        <v>882.7</v>
      </c>
      <c r="F42" s="3">
        <v>630.20000000000005</v>
      </c>
      <c r="G42" s="3">
        <v>296.60000000000002</v>
      </c>
      <c r="H42" s="3">
        <v>93</v>
      </c>
      <c r="I42" s="3">
        <v>67</v>
      </c>
      <c r="J42" s="3">
        <v>4505.5</v>
      </c>
    </row>
    <row r="43" spans="2:10" ht="15" customHeight="1">
      <c r="B43" s="6" t="s">
        <v>42</v>
      </c>
      <c r="C43" s="3">
        <v>1380.6</v>
      </c>
      <c r="D43" s="3">
        <v>1202.7</v>
      </c>
      <c r="E43" s="3">
        <v>914.1</v>
      </c>
      <c r="F43" s="3">
        <v>649.6</v>
      </c>
      <c r="G43" s="3">
        <v>299.7</v>
      </c>
      <c r="H43" s="3">
        <v>94.8</v>
      </c>
      <c r="I43" s="3">
        <v>69.7</v>
      </c>
      <c r="J43" s="3">
        <v>4611.1000000000004</v>
      </c>
    </row>
    <row r="44" spans="2:10" ht="15" customHeight="1">
      <c r="B44" s="6" t="s">
        <v>43</v>
      </c>
      <c r="C44" s="3">
        <v>1382</v>
      </c>
      <c r="D44" s="3">
        <v>1286.3</v>
      </c>
      <c r="E44" s="3">
        <v>968.5</v>
      </c>
      <c r="F44" s="3">
        <v>662.6</v>
      </c>
      <c r="G44" s="3">
        <v>311.89999999999998</v>
      </c>
      <c r="H44" s="3">
        <v>95.8</v>
      </c>
      <c r="I44" s="3">
        <v>70.400000000000006</v>
      </c>
      <c r="J44" s="3">
        <v>4777.6000000000004</v>
      </c>
    </row>
    <row r="45" spans="2:10" ht="15" customHeight="1">
      <c r="B45" s="6" t="s">
        <v>44</v>
      </c>
      <c r="C45" s="3">
        <v>1413.8</v>
      </c>
      <c r="D45" s="3">
        <v>1318.3</v>
      </c>
      <c r="E45" s="3">
        <v>983.8</v>
      </c>
      <c r="F45" s="3">
        <v>672.8</v>
      </c>
      <c r="G45" s="3">
        <v>327.2</v>
      </c>
      <c r="H45" s="3">
        <v>95.7</v>
      </c>
      <c r="I45" s="3">
        <v>73.2</v>
      </c>
      <c r="J45" s="3">
        <v>4884.7</v>
      </c>
    </row>
    <row r="46" spans="2:10" ht="15" customHeight="1">
      <c r="B46" s="6" t="s">
        <v>45</v>
      </c>
      <c r="C46" s="3">
        <v>1426.3</v>
      </c>
      <c r="D46" s="3">
        <v>1346.3</v>
      </c>
      <c r="E46" s="3">
        <v>1009.7</v>
      </c>
      <c r="F46" s="3">
        <v>688.5</v>
      </c>
      <c r="G46" s="3">
        <v>328</v>
      </c>
      <c r="H46" s="3">
        <v>95.8</v>
      </c>
      <c r="I46" s="3">
        <v>76.400000000000006</v>
      </c>
      <c r="J46" s="3">
        <v>4971</v>
      </c>
    </row>
    <row r="47" spans="2:10" ht="15" customHeight="1">
      <c r="B47" s="6" t="s">
        <v>46</v>
      </c>
      <c r="C47" s="3">
        <v>1450.5</v>
      </c>
      <c r="D47" s="3">
        <v>1337.2</v>
      </c>
      <c r="E47" s="3">
        <v>1020</v>
      </c>
      <c r="F47" s="3">
        <v>708.1</v>
      </c>
      <c r="G47" s="3">
        <v>329.3</v>
      </c>
      <c r="H47" s="3">
        <v>93.6</v>
      </c>
      <c r="I47" s="3">
        <v>73.2</v>
      </c>
      <c r="J47" s="3">
        <v>5011.8</v>
      </c>
    </row>
    <row r="48" spans="2:10" ht="15" customHeight="1">
      <c r="B48" s="6" t="s">
        <v>47</v>
      </c>
      <c r="C48" s="3">
        <v>1445.7</v>
      </c>
      <c r="D48" s="3">
        <v>1371.9</v>
      </c>
      <c r="E48" s="3">
        <v>1057.8</v>
      </c>
      <c r="F48" s="3">
        <v>722.9</v>
      </c>
      <c r="G48" s="3">
        <v>328.1</v>
      </c>
      <c r="H48" s="3">
        <v>97.2</v>
      </c>
      <c r="I48" s="3">
        <v>73.400000000000006</v>
      </c>
      <c r="J48" s="3">
        <v>5097</v>
      </c>
    </row>
    <row r="49" spans="2:10" ht="15" customHeight="1">
      <c r="B49" s="6" t="s">
        <v>48</v>
      </c>
      <c r="C49" s="3">
        <v>1510.4749999999999</v>
      </c>
      <c r="D49" s="3">
        <v>1330.624</v>
      </c>
      <c r="E49" s="3">
        <v>1064.037</v>
      </c>
      <c r="F49" s="3">
        <v>719.95799999999997</v>
      </c>
      <c r="G49" s="3">
        <v>357.298</v>
      </c>
      <c r="H49" s="3">
        <v>99.5</v>
      </c>
      <c r="I49" s="3">
        <v>56.783000000000001</v>
      </c>
      <c r="J49" s="3">
        <v>5138.674</v>
      </c>
    </row>
    <row r="50" spans="2:10" ht="15" customHeight="1">
      <c r="B50" s="6" t="s">
        <v>49</v>
      </c>
      <c r="C50" s="3">
        <v>1574.7929999999999</v>
      </c>
      <c r="D50" s="3">
        <v>1364.902</v>
      </c>
      <c r="E50" s="3">
        <v>1081.105</v>
      </c>
      <c r="F50" s="3">
        <v>730.33299999999997</v>
      </c>
      <c r="G50" s="3">
        <v>371.53899999999999</v>
      </c>
      <c r="H50" s="3">
        <v>103.4</v>
      </c>
      <c r="I50" s="3">
        <v>58.655000000000001</v>
      </c>
      <c r="J50" s="3">
        <v>5284.7269999999999</v>
      </c>
    </row>
    <row r="51" spans="2:10" ht="15" customHeight="1">
      <c r="B51" s="6" t="s">
        <v>50</v>
      </c>
      <c r="C51" s="3">
        <v>1544.9159999999999</v>
      </c>
      <c r="D51" s="3">
        <v>1356.5119999999999</v>
      </c>
      <c r="E51" s="3">
        <v>1225.086</v>
      </c>
      <c r="F51" s="3">
        <v>748.20399999999995</v>
      </c>
      <c r="G51" s="3">
        <v>355.55099999999999</v>
      </c>
      <c r="H51" s="3">
        <v>107.395</v>
      </c>
      <c r="I51" s="3">
        <v>61.536000000000001</v>
      </c>
      <c r="J51" s="3">
        <v>5399.2</v>
      </c>
    </row>
    <row r="52" spans="2:10" ht="15" customHeight="1">
      <c r="B52" s="6" t="s">
        <v>51</v>
      </c>
      <c r="C52" s="3">
        <v>1545.9849999999999</v>
      </c>
      <c r="D52" s="3">
        <v>1429.4760000000001</v>
      </c>
      <c r="E52" s="3">
        <v>1279.5250000000001</v>
      </c>
      <c r="F52" s="3">
        <v>757.06700000000001</v>
      </c>
      <c r="G52" s="3">
        <v>350.11799999999999</v>
      </c>
      <c r="H52" s="3">
        <v>111.574</v>
      </c>
      <c r="I52" s="3">
        <v>72.998000000000005</v>
      </c>
      <c r="J52" s="3">
        <v>5546.7420000000002</v>
      </c>
    </row>
    <row r="53" spans="2:10" ht="15" customHeight="1">
      <c r="B53" s="6" t="s">
        <v>52</v>
      </c>
      <c r="C53" s="3">
        <v>1568.894</v>
      </c>
      <c r="D53" s="3">
        <v>1433.8589999999999</v>
      </c>
      <c r="E53" s="3">
        <v>1328.9970000000001</v>
      </c>
      <c r="F53" s="3">
        <v>820.67</v>
      </c>
      <c r="G53" s="3">
        <v>375.46</v>
      </c>
      <c r="H53" s="3">
        <v>113.322</v>
      </c>
      <c r="I53" s="3">
        <v>82.787000000000006</v>
      </c>
      <c r="J53" s="3">
        <v>5723.99</v>
      </c>
    </row>
    <row r="54" spans="2:10" ht="15" customHeight="1">
      <c r="B54" s="6" t="s">
        <v>53</v>
      </c>
      <c r="C54" s="3">
        <v>1610.7080000000001</v>
      </c>
      <c r="D54" s="3">
        <v>1426.079</v>
      </c>
      <c r="E54" s="3">
        <v>1289.546</v>
      </c>
      <c r="F54" s="3">
        <v>827.96299999999997</v>
      </c>
      <c r="G54" s="3">
        <v>372.53300000000002</v>
      </c>
      <c r="H54" s="3">
        <v>115.50700000000001</v>
      </c>
      <c r="I54" s="3">
        <v>95.995000000000005</v>
      </c>
      <c r="J54" s="3">
        <v>5738.33</v>
      </c>
    </row>
    <row r="55" spans="2:10" ht="15" customHeight="1">
      <c r="B55" s="6" t="s">
        <v>54</v>
      </c>
      <c r="C55" s="3">
        <v>1593.538</v>
      </c>
      <c r="D55" s="3">
        <v>1421.6790000000001</v>
      </c>
      <c r="E55" s="3">
        <v>1345.729</v>
      </c>
      <c r="F55" s="3">
        <v>917.22199999999998</v>
      </c>
      <c r="G55" s="3">
        <v>357.22500000000002</v>
      </c>
      <c r="H55" s="3">
        <v>113.795</v>
      </c>
      <c r="I55" s="3">
        <v>95.043999999999997</v>
      </c>
      <c r="J55" s="3">
        <v>5844.2330000000002</v>
      </c>
    </row>
    <row r="56" spans="2:10" ht="15" customHeight="1">
      <c r="B56" s="6" t="s">
        <v>55</v>
      </c>
      <c r="C56" s="3">
        <v>1645.288</v>
      </c>
      <c r="D56" s="3">
        <v>1426.739</v>
      </c>
      <c r="E56" s="3">
        <v>1294.384</v>
      </c>
      <c r="F56" s="3">
        <v>905.74800000000005</v>
      </c>
      <c r="G56" s="3">
        <v>343.72699999999998</v>
      </c>
      <c r="H56" s="3">
        <v>113.744</v>
      </c>
      <c r="I56" s="3">
        <v>94.174000000000007</v>
      </c>
      <c r="J56" s="3">
        <v>5823.8029999999999</v>
      </c>
    </row>
    <row r="57" spans="2:10" ht="15" customHeight="1">
      <c r="B57" s="6" t="s">
        <v>56</v>
      </c>
      <c r="C57" s="3">
        <v>1668.0250000000001</v>
      </c>
      <c r="D57" s="3">
        <v>1448.557</v>
      </c>
      <c r="E57" s="3">
        <v>1249.598</v>
      </c>
      <c r="F57" s="3">
        <v>980.28899999999999</v>
      </c>
      <c r="G57" s="3">
        <v>342.80900000000003</v>
      </c>
      <c r="H57" s="3">
        <v>113.825</v>
      </c>
      <c r="I57" s="3">
        <v>99.786000000000001</v>
      </c>
      <c r="J57" s="3">
        <v>5902.8890000000001</v>
      </c>
    </row>
    <row r="58" spans="2:10" ht="15" customHeight="1">
      <c r="B58" s="6" t="s">
        <v>57</v>
      </c>
      <c r="C58" s="3">
        <v>1621.3050000000001</v>
      </c>
      <c r="D58" s="3">
        <v>1457.3119999999999</v>
      </c>
      <c r="E58" s="3">
        <v>1314.818</v>
      </c>
      <c r="F58" s="3">
        <v>982.16300000000001</v>
      </c>
      <c r="G58" s="3">
        <v>307.66500000000002</v>
      </c>
      <c r="H58" s="3">
        <v>106.97</v>
      </c>
      <c r="I58" s="3">
        <v>98.194000000000003</v>
      </c>
      <c r="J58" s="3">
        <v>5888.4269999999997</v>
      </c>
    </row>
    <row r="59" spans="2:10" ht="15" customHeight="1">
      <c r="B59" s="6" t="s">
        <v>58</v>
      </c>
      <c r="C59" s="3">
        <v>1568.4269999999999</v>
      </c>
      <c r="D59" s="3">
        <v>1425.3019999999999</v>
      </c>
      <c r="E59" s="3">
        <v>1335.3579999999999</v>
      </c>
      <c r="F59" s="3">
        <v>1019.454</v>
      </c>
      <c r="G59" s="3">
        <v>356.279</v>
      </c>
      <c r="H59" s="3">
        <v>112.322</v>
      </c>
      <c r="I59" s="3">
        <v>100.15600000000001</v>
      </c>
      <c r="J59" s="3">
        <v>5917.2969999999996</v>
      </c>
    </row>
    <row r="60" spans="2:10" ht="15" customHeight="1">
      <c r="B60" s="6" t="s">
        <v>59</v>
      </c>
      <c r="C60" s="3">
        <v>1526.538</v>
      </c>
      <c r="D60" s="3">
        <v>1394.779</v>
      </c>
      <c r="E60" s="3">
        <v>1339.203</v>
      </c>
      <c r="F60" s="3">
        <v>1066.5640000000001</v>
      </c>
      <c r="G60" s="3">
        <v>337.065</v>
      </c>
      <c r="H60" s="3">
        <v>108.002</v>
      </c>
      <c r="I60" s="3">
        <v>99.141000000000005</v>
      </c>
      <c r="J60" s="3">
        <v>5871.2920000000004</v>
      </c>
    </row>
    <row r="61" spans="2:10" ht="15" customHeight="1">
      <c r="B61" s="6" t="s">
        <v>60</v>
      </c>
      <c r="C61" s="3">
        <v>1478.836</v>
      </c>
      <c r="D61" s="3">
        <v>1392.271</v>
      </c>
      <c r="E61" s="3">
        <v>1436.508</v>
      </c>
      <c r="F61" s="3">
        <v>1045.354</v>
      </c>
      <c r="G61" s="3">
        <v>356.92500000000001</v>
      </c>
      <c r="H61" s="3">
        <v>104.92700000000001</v>
      </c>
      <c r="I61" s="3">
        <v>83.995000000000005</v>
      </c>
      <c r="J61" s="3">
        <v>5898.817</v>
      </c>
    </row>
    <row r="62" spans="2:10" ht="15" customHeight="1">
      <c r="B62" s="6" t="s">
        <v>61</v>
      </c>
      <c r="C62" s="3">
        <v>1524.2560000000001</v>
      </c>
      <c r="D62" s="3">
        <v>1414.7919999999999</v>
      </c>
      <c r="E62" s="3">
        <v>1464.8630000000001</v>
      </c>
      <c r="F62" s="3">
        <v>1123.9190000000001</v>
      </c>
      <c r="G62" s="3">
        <v>316.387</v>
      </c>
      <c r="H62" s="3">
        <v>107.059</v>
      </c>
      <c r="I62" s="3">
        <v>83.927000000000007</v>
      </c>
      <c r="J62" s="3">
        <v>6035.2039999999997</v>
      </c>
    </row>
    <row r="63" spans="2:10" ht="15" customHeight="1">
      <c r="B63" s="6" t="s">
        <v>62</v>
      </c>
      <c r="C63" s="3">
        <v>1533.049</v>
      </c>
      <c r="D63" s="3">
        <v>1384.789</v>
      </c>
      <c r="E63" s="3">
        <v>1532.2180000000001</v>
      </c>
      <c r="F63" s="3">
        <v>1176.7760000000001</v>
      </c>
      <c r="G63" s="3">
        <v>287.38200000000001</v>
      </c>
      <c r="H63" s="3">
        <v>107.46299999999999</v>
      </c>
      <c r="I63" s="3">
        <v>83.326999999999998</v>
      </c>
      <c r="J63" s="3">
        <v>6105.0039999999999</v>
      </c>
    </row>
    <row r="64" spans="2:10" ht="15" customHeight="1">
      <c r="B64" s="6" t="s">
        <v>63</v>
      </c>
      <c r="C64" s="3">
        <v>1564.673</v>
      </c>
      <c r="D64" s="3">
        <v>1309.98</v>
      </c>
      <c r="E64" s="3">
        <v>1548.845</v>
      </c>
      <c r="F64" s="3">
        <v>1209.6690000000001</v>
      </c>
      <c r="G64" s="3">
        <v>334.65300000000002</v>
      </c>
      <c r="H64" s="3">
        <v>110.54</v>
      </c>
      <c r="I64" s="3">
        <v>90.173000000000002</v>
      </c>
      <c r="J64" s="3">
        <v>6168.5339999999997</v>
      </c>
    </row>
    <row r="65" spans="2:10" ht="15" customHeight="1">
      <c r="B65" s="6" t="s">
        <v>64</v>
      </c>
      <c r="C65" s="3">
        <v>1558.894</v>
      </c>
      <c r="D65" s="3">
        <v>1278.914</v>
      </c>
      <c r="E65" s="3">
        <v>1532.297</v>
      </c>
      <c r="F65" s="3">
        <v>1262.441</v>
      </c>
      <c r="G65" s="3">
        <v>325.22199999999998</v>
      </c>
      <c r="H65" s="3">
        <v>108.321</v>
      </c>
      <c r="I65" s="3">
        <v>133.107</v>
      </c>
      <c r="J65" s="3">
        <v>6199.1970000000001</v>
      </c>
    </row>
    <row r="66" spans="2:10" ht="15" customHeight="1">
      <c r="B66" s="6" t="s">
        <v>65</v>
      </c>
      <c r="C66" s="3">
        <v>1487.6859999999999</v>
      </c>
      <c r="D66" s="3">
        <v>1215.6089999999999</v>
      </c>
      <c r="E66" s="3">
        <v>1493.529</v>
      </c>
      <c r="F66" s="3">
        <v>1268.653</v>
      </c>
      <c r="G66" s="3">
        <v>319.88600000000002</v>
      </c>
      <c r="H66" s="3">
        <v>100.559</v>
      </c>
      <c r="I66" s="3">
        <v>146.71700000000001</v>
      </c>
      <c r="J66" s="3">
        <v>6032.6379999999999</v>
      </c>
    </row>
    <row r="67" spans="2:10" ht="15" customHeight="1">
      <c r="B67" s="6" t="s">
        <v>66</v>
      </c>
      <c r="C67" s="3">
        <v>1400.952</v>
      </c>
      <c r="D67" s="3">
        <v>1138.681</v>
      </c>
      <c r="E67" s="3">
        <v>1448.54</v>
      </c>
      <c r="F67" s="3">
        <v>1236.5909999999999</v>
      </c>
      <c r="G67" s="3">
        <v>308.67700000000002</v>
      </c>
      <c r="H67" s="3">
        <v>103.59</v>
      </c>
      <c r="I67" s="3">
        <v>147.65299999999999</v>
      </c>
      <c r="J67" s="3">
        <v>5784.6840000000002</v>
      </c>
    </row>
    <row r="68" spans="2:10" ht="15" customHeight="1">
      <c r="B68" s="6" t="s">
        <v>67</v>
      </c>
      <c r="C68" s="3">
        <v>1387.394</v>
      </c>
      <c r="D68" s="3">
        <v>1169.3219999999999</v>
      </c>
      <c r="E68" s="3">
        <v>1446.7260000000001</v>
      </c>
      <c r="F68" s="3">
        <v>1264.288</v>
      </c>
      <c r="G68" s="3">
        <v>304.36599999999999</v>
      </c>
      <c r="H68" s="3">
        <v>106.374</v>
      </c>
      <c r="I68" s="3">
        <v>152.00899999999999</v>
      </c>
      <c r="J68" s="3">
        <v>5830.4780000000001</v>
      </c>
    </row>
    <row r="69" spans="2:10" ht="15" customHeight="1">
      <c r="B69" s="6" t="s">
        <v>68</v>
      </c>
      <c r="C69" s="3">
        <v>1453.9760000000001</v>
      </c>
      <c r="D69" s="3">
        <v>1195.9079999999999</v>
      </c>
      <c r="E69" s="3">
        <v>1463.2739999999999</v>
      </c>
      <c r="F69" s="3">
        <v>1294.1010000000001</v>
      </c>
      <c r="G69" s="3">
        <v>303.84300000000002</v>
      </c>
      <c r="H69" s="3">
        <v>106.491</v>
      </c>
      <c r="I69" s="3">
        <v>132.13300000000001</v>
      </c>
      <c r="J69" s="3">
        <v>5949.7269999999999</v>
      </c>
    </row>
    <row r="70" spans="2:10" ht="15" customHeight="1">
      <c r="B70" s="7" t="s">
        <v>69</v>
      </c>
      <c r="C70" s="4">
        <v>1447.855</v>
      </c>
      <c r="D70" s="4">
        <v>1239.7149999999999</v>
      </c>
      <c r="E70" s="4">
        <v>1457.9449999999999</v>
      </c>
      <c r="F70" s="4">
        <v>1295.635</v>
      </c>
      <c r="G70" s="4">
        <v>291.28399999999999</v>
      </c>
      <c r="H70" s="4">
        <v>104.84</v>
      </c>
      <c r="I70" s="4">
        <v>139.38300000000001</v>
      </c>
      <c r="J70" s="4">
        <v>5976.6559999999999</v>
      </c>
    </row>
    <row r="71" spans="2:10" ht="15" customHeight="1">
      <c r="B71" s="10"/>
    </row>
    <row r="72" spans="2:10" ht="15" customHeight="1">
      <c r="B72" s="10" t="s">
        <v>88</v>
      </c>
    </row>
    <row r="73" spans="2:10" ht="15" customHeight="1">
      <c r="B73" s="11" t="s">
        <v>91</v>
      </c>
    </row>
    <row r="74" spans="2:10" ht="15" customHeight="1">
      <c r="B74" s="13" t="s">
        <v>106</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5E37-D207-F141-A70D-000472F1CD82}">
  <dimension ref="A1:B10"/>
  <sheetViews>
    <sheetView workbookViewId="0">
      <selection activeCell="B4" sqref="B4"/>
    </sheetView>
  </sheetViews>
  <sheetFormatPr baseColWidth="10" defaultRowHeight="15"/>
  <cols>
    <col min="2" max="2" width="34.6640625" customWidth="1"/>
  </cols>
  <sheetData>
    <row r="1" spans="1:2" ht="21">
      <c r="A1" s="33" t="s">
        <v>110</v>
      </c>
      <c r="B1" s="17" t="s">
        <v>111</v>
      </c>
    </row>
    <row r="2" spans="1:2">
      <c r="A2" s="20">
        <v>2016</v>
      </c>
      <c r="B2" s="3">
        <v>6035.2039999999997</v>
      </c>
    </row>
    <row r="3" spans="1:2">
      <c r="A3" s="20">
        <v>2017</v>
      </c>
      <c r="B3" s="3">
        <v>6105.0039999999999</v>
      </c>
    </row>
    <row r="4" spans="1:2">
      <c r="A4" s="20">
        <v>2018</v>
      </c>
      <c r="B4" s="3">
        <v>6168.5339999999997</v>
      </c>
    </row>
    <row r="5" spans="1:2">
      <c r="A5" s="20">
        <v>2019</v>
      </c>
      <c r="B5" s="3">
        <v>6199.1970000000001</v>
      </c>
    </row>
    <row r="6" spans="1:2">
      <c r="A6" s="20">
        <v>2020</v>
      </c>
      <c r="B6" s="3">
        <v>6032.6379999999999</v>
      </c>
    </row>
    <row r="7" spans="1:2">
      <c r="A7" s="20">
        <v>2021</v>
      </c>
      <c r="B7" s="3">
        <v>5784.6840000000002</v>
      </c>
    </row>
    <row r="8" spans="1:2">
      <c r="A8" s="20">
        <v>2022</v>
      </c>
      <c r="B8" s="3">
        <v>5830.4780000000001</v>
      </c>
    </row>
    <row r="9" spans="1:2">
      <c r="A9" s="20">
        <v>2023</v>
      </c>
      <c r="B9" s="3">
        <v>5949.7269999999999</v>
      </c>
    </row>
    <row r="10" spans="1:2">
      <c r="A10" s="20">
        <v>2024</v>
      </c>
      <c r="B10" s="4">
        <v>5976.6559999999999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4296-1623-C343-8149-A07EF44C5CB6}">
  <dimension ref="A1:K26"/>
  <sheetViews>
    <sheetView workbookViewId="0"/>
  </sheetViews>
  <sheetFormatPr baseColWidth="10" defaultRowHeight="15"/>
  <cols>
    <col min="1" max="1" width="13.83203125" customWidth="1"/>
    <col min="2" max="2" width="32.83203125" customWidth="1"/>
    <col min="3" max="3" width="27" customWidth="1"/>
    <col min="4" max="4" width="22.6640625" customWidth="1"/>
  </cols>
  <sheetData>
    <row r="1" spans="1:4" s="18" customFormat="1" ht="43" customHeight="1">
      <c r="A1" s="18" t="s">
        <v>110</v>
      </c>
      <c r="B1" s="18" t="s">
        <v>112</v>
      </c>
      <c r="C1" s="18" t="s">
        <v>113</v>
      </c>
      <c r="D1" s="18" t="s">
        <v>114</v>
      </c>
    </row>
    <row r="2" spans="1:4">
      <c r="A2" s="21">
        <v>2016</v>
      </c>
      <c r="B2" s="22">
        <v>38146</v>
      </c>
      <c r="C2" s="22">
        <v>257428.6</v>
      </c>
      <c r="D2" s="23">
        <f ca="1">Renewable_Data!C2/Renewable_Data!D2</f>
        <v>0.14818089365361889</v>
      </c>
    </row>
    <row r="3" spans="1:4">
      <c r="A3" s="21">
        <v>2017</v>
      </c>
      <c r="B3" s="22">
        <v>40454.6</v>
      </c>
      <c r="C3" s="22">
        <v>258017</v>
      </c>
      <c r="D3" s="23">
        <f ca="1">Renewable_Data!C3/Renewable_Data!D3</f>
        <v>0.15679044404050896</v>
      </c>
    </row>
    <row r="4" spans="1:4">
      <c r="A4" s="21">
        <v>2018</v>
      </c>
      <c r="B4" s="22">
        <v>44642.8</v>
      </c>
      <c r="C4" s="22">
        <v>261056.1</v>
      </c>
      <c r="D4" s="23">
        <f ca="1">Renewable_Data!C4/Renewable_Data!D4</f>
        <v>0.17100845373848764</v>
      </c>
    </row>
    <row r="5" spans="1:4">
      <c r="A5" s="21">
        <v>2019</v>
      </c>
      <c r="B5" s="22">
        <v>52023.6</v>
      </c>
      <c r="C5" s="22">
        <v>264026.7</v>
      </c>
      <c r="D5" s="23">
        <f ca="1">Renewable_Data!C5/Renewable_Data!D5</f>
        <v>0.19703916308464256</v>
      </c>
    </row>
    <row r="6" spans="1:4">
      <c r="A6" s="21">
        <v>2020</v>
      </c>
      <c r="B6" s="22">
        <v>59930.3</v>
      </c>
      <c r="C6" s="22">
        <v>265178.2</v>
      </c>
      <c r="D6" s="23">
        <f ca="1">Renewable_Data!C6/Renewable_Data!D6</f>
        <v>0.22600010106411461</v>
      </c>
    </row>
    <row r="7" spans="1:4">
      <c r="A7" s="21">
        <v>2021</v>
      </c>
      <c r="B7" s="22">
        <v>70798.2</v>
      </c>
      <c r="C7" s="22">
        <v>265554.5</v>
      </c>
      <c r="D7" s="23">
        <f ca="1">Renewable_Data!C7/Renewable_Data!D7</f>
        <v>0.26660516014603403</v>
      </c>
    </row>
    <row r="8" spans="1:4">
      <c r="A8" s="21">
        <v>2022</v>
      </c>
      <c r="B8" s="22">
        <v>83995.6</v>
      </c>
      <c r="C8" s="22">
        <v>271531.59999999998</v>
      </c>
      <c r="D8" s="23">
        <f ca="1">Renewable_Data!C8/Renewable_Data!D8</f>
        <v>0.30934005471186415</v>
      </c>
    </row>
    <row r="9" spans="1:4">
      <c r="A9" s="21">
        <v>2023</v>
      </c>
      <c r="D9" s="23"/>
    </row>
    <row r="10" spans="1:4">
      <c r="A10" s="21">
        <v>2024</v>
      </c>
      <c r="D10" s="23"/>
    </row>
    <row r="21" spans="9:11">
      <c r="I21" s="22"/>
      <c r="J21" s="22"/>
      <c r="K21" s="23"/>
    </row>
    <row r="22" spans="9:11">
      <c r="I22" s="22"/>
      <c r="J22" s="22"/>
      <c r="K22" s="23"/>
    </row>
    <row r="23" spans="9:11">
      <c r="I23" s="22"/>
      <c r="J23" s="22"/>
      <c r="K23" s="23"/>
    </row>
    <row r="24" spans="9:11">
      <c r="I24" s="22"/>
      <c r="J24" s="22"/>
      <c r="K24" s="23"/>
    </row>
    <row r="25" spans="9:11">
      <c r="I25" s="22"/>
      <c r="J25" s="22"/>
      <c r="K25" s="23"/>
    </row>
    <row r="26" spans="9:11">
      <c r="I26" s="22"/>
      <c r="J26" s="22"/>
    </row>
  </sheetData>
  <phoneticPr fontId="1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A44AA-A124-BD4D-890E-51803B9F8BD9}">
  <dimension ref="A1:L14"/>
  <sheetViews>
    <sheetView workbookViewId="0">
      <selection activeCell="A2" sqref="A2"/>
    </sheetView>
  </sheetViews>
  <sheetFormatPr baseColWidth="10" defaultRowHeight="15"/>
  <cols>
    <col min="2" max="2" width="15.33203125" customWidth="1"/>
    <col min="3" max="3" width="22" customWidth="1"/>
  </cols>
  <sheetData>
    <row r="1" spans="1:12" s="26" customFormat="1" ht="20">
      <c r="A1" s="18" t="s">
        <v>110</v>
      </c>
      <c r="B1" s="26" t="s">
        <v>115</v>
      </c>
      <c r="C1" s="26" t="s">
        <v>116</v>
      </c>
    </row>
    <row r="2" spans="1:12">
      <c r="A2" s="21">
        <v>2016</v>
      </c>
      <c r="B2" s="27">
        <v>1369</v>
      </c>
      <c r="C2" s="23">
        <v>1.1999999999999999E-3</v>
      </c>
    </row>
    <row r="3" spans="1:12">
      <c r="A3" s="21">
        <v>2017</v>
      </c>
      <c r="B3" s="27">
        <v>2284</v>
      </c>
      <c r="C3" s="23">
        <v>1.9E-3</v>
      </c>
    </row>
    <row r="4" spans="1:12">
      <c r="A4" s="21">
        <v>2018</v>
      </c>
      <c r="B4" s="27">
        <v>2216</v>
      </c>
      <c r="C4" s="23">
        <v>2.0999999999999999E-3</v>
      </c>
    </row>
    <row r="5" spans="1:12">
      <c r="A5" s="21">
        <v>2019</v>
      </c>
      <c r="B5" s="27">
        <v>6718</v>
      </c>
      <c r="C5" s="23">
        <v>6.4999999999999997E-3</v>
      </c>
      <c r="J5" s="24"/>
      <c r="K5" s="24"/>
      <c r="L5" s="24"/>
    </row>
    <row r="6" spans="1:12">
      <c r="A6" s="21">
        <v>2020</v>
      </c>
      <c r="B6" s="27">
        <v>6900</v>
      </c>
      <c r="C6" s="23">
        <v>7.7999999999999996E-3</v>
      </c>
      <c r="K6" s="27"/>
      <c r="L6" s="23"/>
    </row>
    <row r="7" spans="1:12">
      <c r="A7" s="21">
        <v>2021</v>
      </c>
      <c r="B7" s="27">
        <v>20665</v>
      </c>
      <c r="C7" s="23">
        <v>1.95E-2</v>
      </c>
      <c r="K7" s="27"/>
      <c r="L7" s="23"/>
    </row>
    <row r="8" spans="1:12">
      <c r="A8" s="21">
        <v>2022</v>
      </c>
      <c r="B8" s="27">
        <v>39353</v>
      </c>
      <c r="C8" s="23">
        <v>3.8100000000000002E-2</v>
      </c>
      <c r="K8" s="27"/>
      <c r="L8" s="23"/>
    </row>
    <row r="9" spans="1:12">
      <c r="A9" s="21">
        <v>2023</v>
      </c>
      <c r="B9" s="27">
        <v>98436</v>
      </c>
      <c r="C9" s="23">
        <v>8.4500000000000006E-2</v>
      </c>
      <c r="K9" s="27"/>
      <c r="L9" s="23"/>
    </row>
    <row r="10" spans="1:12">
      <c r="A10" s="21">
        <v>2024</v>
      </c>
      <c r="B10" s="27">
        <v>85319</v>
      </c>
      <c r="C10" s="23">
        <v>9.5299999999999996E-2</v>
      </c>
      <c r="K10" s="27"/>
      <c r="L10" s="23"/>
    </row>
    <row r="11" spans="1:12">
      <c r="K11" s="27"/>
      <c r="L11" s="23"/>
    </row>
    <row r="12" spans="1:12">
      <c r="K12" s="27"/>
      <c r="L12" s="23"/>
    </row>
    <row r="13" spans="1:12">
      <c r="A13" t="s">
        <v>117</v>
      </c>
      <c r="K13" s="27"/>
      <c r="L13" s="23"/>
    </row>
    <row r="14" spans="1:12">
      <c r="K14" s="27"/>
      <c r="L14" s="23"/>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091B-89B3-3B46-9DDF-782D6216C097}">
  <dimension ref="A1:B10"/>
  <sheetViews>
    <sheetView workbookViewId="0"/>
  </sheetViews>
  <sheetFormatPr baseColWidth="10" defaultRowHeight="15"/>
  <cols>
    <col min="2" max="2" width="29.1640625" customWidth="1"/>
  </cols>
  <sheetData>
    <row r="1" spans="1:2" s="26" customFormat="1" ht="20">
      <c r="A1" s="18" t="s">
        <v>110</v>
      </c>
      <c r="B1" s="26" t="s">
        <v>118</v>
      </c>
    </row>
    <row r="2" spans="1:2">
      <c r="A2" s="21">
        <v>2016</v>
      </c>
      <c r="B2" s="28">
        <v>134.06191837653</v>
      </c>
    </row>
    <row r="3" spans="1:2">
      <c r="A3" s="21">
        <v>2017</v>
      </c>
      <c r="B3" s="28">
        <v>127.03858145636282</v>
      </c>
    </row>
    <row r="4" spans="1:2">
      <c r="A4" s="21">
        <v>2018</v>
      </c>
      <c r="B4" s="28">
        <v>124.59188630341023</v>
      </c>
    </row>
    <row r="5" spans="1:2">
      <c r="A5" s="21">
        <v>2019</v>
      </c>
      <c r="B5" s="28">
        <v>121.30648474151273</v>
      </c>
    </row>
    <row r="6" spans="1:2">
      <c r="A6" s="21">
        <v>2020</v>
      </c>
      <c r="B6" s="28">
        <v>109.76550603377987</v>
      </c>
    </row>
    <row r="7" spans="1:2">
      <c r="A7" s="21">
        <v>2021</v>
      </c>
      <c r="B7" s="28">
        <v>110.80439059484888</v>
      </c>
    </row>
    <row r="8" spans="1:2">
      <c r="A8" s="21">
        <v>2022</v>
      </c>
      <c r="B8" s="28">
        <v>113.14783820076579</v>
      </c>
    </row>
    <row r="9" spans="1:2">
      <c r="A9" s="21">
        <v>2023</v>
      </c>
      <c r="B9" s="28">
        <v>111.28431723715053</v>
      </c>
    </row>
    <row r="10" spans="1:2">
      <c r="A10" s="21">
        <v>2024</v>
      </c>
      <c r="B10" s="28">
        <v>109.97302892106363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9262A-2501-B74F-AC76-59E74440EDB1}">
  <dimension ref="A1:F19"/>
  <sheetViews>
    <sheetView zoomScale="150" workbookViewId="0">
      <selection activeCell="H20" sqref="H20"/>
    </sheetView>
  </sheetViews>
  <sheetFormatPr baseColWidth="10" defaultRowHeight="15"/>
  <cols>
    <col min="2" max="2" width="27.33203125" customWidth="1"/>
    <col min="3" max="3" width="12.1640625" bestFit="1" customWidth="1"/>
    <col min="4" max="4" width="16.5" bestFit="1" customWidth="1"/>
    <col min="5" max="5" width="9.6640625" bestFit="1" customWidth="1"/>
    <col min="6" max="6" width="12.83203125" bestFit="1" customWidth="1"/>
  </cols>
  <sheetData>
    <row r="1" spans="1:6" s="26" customFormat="1" ht="20">
      <c r="A1" s="18" t="s">
        <v>110</v>
      </c>
      <c r="B1" s="26" t="s">
        <v>120</v>
      </c>
      <c r="C1" s="26" t="s">
        <v>114</v>
      </c>
      <c r="D1" s="26" t="s">
        <v>115</v>
      </c>
      <c r="E1" s="26" t="s">
        <v>116</v>
      </c>
      <c r="F1" s="26" t="s">
        <v>119</v>
      </c>
    </row>
    <row r="2" spans="1:6">
      <c r="A2">
        <v>2016</v>
      </c>
      <c r="B2" s="3">
        <v>6035.2039999999997</v>
      </c>
      <c r="C2" s="23">
        <f>Renewable_Data!B2/Renewable_Data!C2</f>
        <v>0.14818089365361889</v>
      </c>
      <c r="D2" s="27">
        <v>1369</v>
      </c>
      <c r="E2" s="23">
        <v>1.1999999999999999E-3</v>
      </c>
      <c r="F2" s="28">
        <v>134.06191837653</v>
      </c>
    </row>
    <row r="3" spans="1:6">
      <c r="A3">
        <v>2017</v>
      </c>
      <c r="B3" s="3">
        <v>6105.0039999999999</v>
      </c>
      <c r="C3" s="23">
        <f>Renewable_Data!B3/Renewable_Data!C3</f>
        <v>0.15679044404050896</v>
      </c>
      <c r="D3" s="27">
        <v>2284</v>
      </c>
      <c r="E3" s="23">
        <v>1.9E-3</v>
      </c>
      <c r="F3" s="28">
        <v>127.03858145636282</v>
      </c>
    </row>
    <row r="4" spans="1:6">
      <c r="A4">
        <v>2018</v>
      </c>
      <c r="B4" s="3">
        <v>6168.5339999999997</v>
      </c>
      <c r="C4" s="23">
        <f>Renewable_Data!B4/Renewable_Data!C4</f>
        <v>0.17100845373848764</v>
      </c>
      <c r="D4" s="27">
        <v>2216</v>
      </c>
      <c r="E4" s="23">
        <v>2.0999999999999999E-3</v>
      </c>
      <c r="F4" s="28">
        <v>124.59188630341023</v>
      </c>
    </row>
    <row r="5" spans="1:6">
      <c r="A5">
        <v>2019</v>
      </c>
      <c r="B5" s="3">
        <v>6199.1970000000001</v>
      </c>
      <c r="C5" s="23">
        <f>Renewable_Data!B5/Renewable_Data!C5</f>
        <v>0.19703916308464256</v>
      </c>
      <c r="D5" s="27">
        <v>6718</v>
      </c>
      <c r="E5" s="23">
        <v>6.4999999999999997E-3</v>
      </c>
      <c r="F5" s="28">
        <v>121.30648474151273</v>
      </c>
    </row>
    <row r="6" spans="1:6">
      <c r="A6">
        <v>2020</v>
      </c>
      <c r="B6" s="3">
        <v>6032.6379999999999</v>
      </c>
      <c r="C6" s="23">
        <f>Renewable_Data!B6/Renewable_Data!C6</f>
        <v>0.22600010106411461</v>
      </c>
      <c r="D6" s="27">
        <v>6900</v>
      </c>
      <c r="E6" s="23">
        <v>7.7999999999999996E-3</v>
      </c>
      <c r="F6" s="28">
        <v>109.76550603377987</v>
      </c>
    </row>
    <row r="7" spans="1:6">
      <c r="A7">
        <v>2021</v>
      </c>
      <c r="B7" s="3">
        <v>5784.6840000000002</v>
      </c>
      <c r="C7" s="23">
        <f>Renewable_Data!B7/Renewable_Data!C7</f>
        <v>0.26660516014603403</v>
      </c>
      <c r="D7" s="27">
        <v>20665</v>
      </c>
      <c r="E7" s="23">
        <v>1.95E-2</v>
      </c>
      <c r="F7" s="28">
        <v>110.80439059484888</v>
      </c>
    </row>
    <row r="8" spans="1:6">
      <c r="A8">
        <v>2022</v>
      </c>
      <c r="B8" s="3">
        <v>5830.4780000000001</v>
      </c>
      <c r="C8" s="23">
        <f>Renewable_Data!B8/Renewable_Data!C8</f>
        <v>0.30934005471186415</v>
      </c>
      <c r="D8" s="27">
        <v>39353</v>
      </c>
      <c r="E8" s="23">
        <v>3.8100000000000002E-2</v>
      </c>
      <c r="F8" s="28">
        <v>113.14783820076579</v>
      </c>
    </row>
    <row r="9" spans="1:6">
      <c r="A9">
        <v>2023</v>
      </c>
      <c r="B9" s="3">
        <v>5949.7269999999999</v>
      </c>
      <c r="C9" s="23"/>
      <c r="D9" s="27">
        <v>98436</v>
      </c>
      <c r="E9" s="23">
        <v>8.4500000000000006E-2</v>
      </c>
      <c r="F9" s="28">
        <v>111.28431723715053</v>
      </c>
    </row>
    <row r="10" spans="1:6">
      <c r="A10">
        <v>2024</v>
      </c>
      <c r="B10" s="4">
        <v>5976.6559999999999</v>
      </c>
      <c r="C10" s="23"/>
      <c r="D10" s="27">
        <v>85319</v>
      </c>
      <c r="E10" s="23">
        <v>9.5299999999999996E-2</v>
      </c>
      <c r="F10" s="28">
        <v>109.97302892106363</v>
      </c>
    </row>
    <row r="19" spans="4:6">
      <c r="D19" s="32"/>
      <c r="E19" s="32"/>
      <c r="F19" s="32"/>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84AB8-3FCC-184D-96F3-5FA3CC9BDC0E}">
  <dimension ref="A1:AM43"/>
  <sheetViews>
    <sheetView showGridLines="0" topLeftCell="A57" zoomScale="93" zoomScaleNormal="93" workbookViewId="0">
      <selection activeCell="AJ25" sqref="A1:XFD1048576"/>
    </sheetView>
  </sheetViews>
  <sheetFormatPr baseColWidth="10" defaultRowHeight="15"/>
  <sheetData>
    <row r="1" spans="1:39" ht="37">
      <c r="A1" s="71" t="s">
        <v>142</v>
      </c>
      <c r="B1" s="71"/>
      <c r="C1" s="71"/>
      <c r="D1" s="71"/>
      <c r="E1" s="71"/>
      <c r="F1" s="71"/>
      <c r="G1" s="71"/>
      <c r="H1" s="71"/>
      <c r="I1" s="71"/>
      <c r="J1" s="71"/>
      <c r="K1" s="71"/>
      <c r="L1" s="71"/>
      <c r="M1" s="71"/>
      <c r="N1" s="71"/>
      <c r="O1" s="71"/>
      <c r="P1" s="71"/>
      <c r="Q1" s="71"/>
      <c r="R1" s="71"/>
      <c r="S1" s="71"/>
      <c r="T1" s="71"/>
      <c r="U1" s="71"/>
      <c r="V1" s="71"/>
      <c r="W1" s="71"/>
      <c r="X1" s="71"/>
      <c r="Y1" s="71"/>
    </row>
    <row r="3" spans="1:39" ht="16" thickBot="1"/>
    <row r="4" spans="1:39" ht="15" customHeight="1">
      <c r="A4" s="41" t="s">
        <v>143</v>
      </c>
      <c r="B4" s="42"/>
      <c r="C4" s="42"/>
      <c r="D4" s="42"/>
      <c r="E4" s="43"/>
      <c r="G4" s="41" t="s">
        <v>145</v>
      </c>
      <c r="H4" s="42"/>
      <c r="I4" s="42"/>
      <c r="J4" s="42"/>
      <c r="K4" s="43"/>
      <c r="M4" s="56" t="s">
        <v>146</v>
      </c>
      <c r="N4" s="57"/>
      <c r="O4" s="58"/>
      <c r="Q4" s="41" t="s">
        <v>149</v>
      </c>
      <c r="R4" s="42"/>
      <c r="S4" s="42"/>
      <c r="T4" s="43"/>
      <c r="V4" s="41" t="s">
        <v>147</v>
      </c>
      <c r="W4" s="42"/>
      <c r="X4" s="42"/>
      <c r="Y4" s="43"/>
    </row>
    <row r="5" spans="1:39" ht="15" customHeight="1" thickBot="1">
      <c r="A5" s="53"/>
      <c r="B5" s="54"/>
      <c r="C5" s="54"/>
      <c r="D5" s="54"/>
      <c r="E5" s="55"/>
      <c r="G5" s="53"/>
      <c r="H5" s="54"/>
      <c r="I5" s="54"/>
      <c r="J5" s="54"/>
      <c r="K5" s="55"/>
      <c r="M5" s="59"/>
      <c r="N5" s="60"/>
      <c r="O5" s="61"/>
      <c r="Q5" s="44"/>
      <c r="R5" s="45"/>
      <c r="S5" s="45"/>
      <c r="T5" s="46"/>
      <c r="V5" s="44"/>
      <c r="W5" s="45"/>
      <c r="X5" s="45"/>
      <c r="Y5" s="46"/>
    </row>
    <row r="6" spans="1:39" ht="25" thickBot="1">
      <c r="A6" s="47" t="s">
        <v>144</v>
      </c>
      <c r="B6" s="48"/>
      <c r="C6" s="48"/>
      <c r="D6" s="48"/>
      <c r="E6" s="49"/>
      <c r="G6" s="50">
        <v>0.31</v>
      </c>
      <c r="H6" s="51"/>
      <c r="I6" s="51"/>
      <c r="J6" s="51"/>
      <c r="K6" s="52"/>
      <c r="M6" s="62">
        <v>9.5299999999999996E-2</v>
      </c>
      <c r="N6" s="63"/>
      <c r="O6" s="64"/>
      <c r="Q6" s="65">
        <v>85319</v>
      </c>
      <c r="R6" s="66"/>
      <c r="S6" s="66"/>
      <c r="T6" s="67"/>
      <c r="V6" s="68" t="s">
        <v>148</v>
      </c>
      <c r="W6" s="69"/>
      <c r="X6" s="69"/>
      <c r="Y6" s="70"/>
    </row>
    <row r="7" spans="1:39" ht="24">
      <c r="G7" s="74"/>
      <c r="H7" s="74"/>
      <c r="I7" s="74"/>
      <c r="J7" s="74"/>
      <c r="K7" s="74"/>
      <c r="AC7" s="75"/>
    </row>
    <row r="8" spans="1:39" ht="24">
      <c r="AC8" s="73"/>
    </row>
    <row r="9" spans="1:39" ht="24">
      <c r="AC9" s="73"/>
    </row>
    <row r="10" spans="1:39" ht="24">
      <c r="AC10" s="73"/>
    </row>
    <row r="11" spans="1:39" ht="24">
      <c r="AC11" s="73"/>
    </row>
    <row r="12" spans="1:39" ht="24">
      <c r="AC12" s="73"/>
    </row>
    <row r="16" spans="1:39" ht="19">
      <c r="AD16" s="72"/>
      <c r="AE16" s="72"/>
      <c r="AF16" s="72"/>
      <c r="AG16" s="72"/>
      <c r="AH16" s="72"/>
      <c r="AI16" s="72"/>
      <c r="AJ16" s="72"/>
      <c r="AK16" s="72"/>
      <c r="AL16" s="72"/>
      <c r="AM16" s="72"/>
    </row>
    <row r="38" spans="14:21">
      <c r="U38" s="32"/>
    </row>
    <row r="39" spans="14:21">
      <c r="N39" s="32"/>
      <c r="O39" s="32"/>
      <c r="P39" s="32"/>
      <c r="Q39" s="32"/>
      <c r="U39" s="32"/>
    </row>
    <row r="40" spans="14:21">
      <c r="T40" s="32"/>
      <c r="U40" s="32"/>
    </row>
    <row r="41" spans="14:21">
      <c r="T41" s="32"/>
      <c r="U41" s="32"/>
    </row>
    <row r="42" spans="14:21">
      <c r="T42" s="32"/>
      <c r="U42" s="32"/>
    </row>
    <row r="43" spans="14:21">
      <c r="T43" s="32"/>
    </row>
  </sheetData>
  <mergeCells count="12">
    <mergeCell ref="G7:K7"/>
    <mergeCell ref="M6:O6"/>
    <mergeCell ref="Q4:T5"/>
    <mergeCell ref="Q6:T6"/>
    <mergeCell ref="V4:Y5"/>
    <mergeCell ref="V6:Y6"/>
    <mergeCell ref="A1:Y1"/>
    <mergeCell ref="A4:E5"/>
    <mergeCell ref="A6:E6"/>
    <mergeCell ref="G4:K5"/>
    <mergeCell ref="G6:K6"/>
    <mergeCell ref="M4:O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30ED-192D-F149-949C-F989B52CDB56}">
  <dimension ref="A1:F26"/>
  <sheetViews>
    <sheetView zoomScale="143" zoomScaleNormal="143" workbookViewId="0">
      <selection activeCell="F18" sqref="F18"/>
    </sheetView>
  </sheetViews>
  <sheetFormatPr baseColWidth="10" defaultRowHeight="15"/>
  <cols>
    <col min="1" max="1" width="19.1640625" customWidth="1"/>
    <col min="2" max="2" width="32" customWidth="1"/>
    <col min="5" max="6" width="18" customWidth="1"/>
  </cols>
  <sheetData>
    <row r="1" spans="1:6" ht="21">
      <c r="A1" s="31" t="s">
        <v>150</v>
      </c>
      <c r="B1" s="31"/>
      <c r="E1" s="38" t="s">
        <v>155</v>
      </c>
      <c r="F1" s="38"/>
    </row>
    <row r="2" spans="1:6" ht="19">
      <c r="A2" s="36" t="s">
        <v>110</v>
      </c>
      <c r="B2" s="39" t="s">
        <v>158</v>
      </c>
      <c r="E2" s="34" t="s">
        <v>110</v>
      </c>
      <c r="F2" t="s">
        <v>154</v>
      </c>
    </row>
    <row r="3" spans="1:6">
      <c r="A3" s="30">
        <v>2016</v>
      </c>
      <c r="B3" s="19">
        <v>6035.2039999999997</v>
      </c>
      <c r="E3" s="35">
        <v>2016</v>
      </c>
      <c r="F3" s="27">
        <v>1369</v>
      </c>
    </row>
    <row r="4" spans="1:6">
      <c r="A4" s="30">
        <v>2017</v>
      </c>
      <c r="B4" s="19">
        <v>6105.0039999999999</v>
      </c>
      <c r="E4" s="35">
        <v>2017</v>
      </c>
      <c r="F4" s="27">
        <v>2284</v>
      </c>
    </row>
    <row r="5" spans="1:6">
      <c r="A5" s="30">
        <v>2018</v>
      </c>
      <c r="B5" s="19">
        <v>6168.5339999999997</v>
      </c>
      <c r="E5" s="35">
        <v>2018</v>
      </c>
      <c r="F5" s="27">
        <v>2216</v>
      </c>
    </row>
    <row r="6" spans="1:6">
      <c r="A6" s="30">
        <v>2019</v>
      </c>
      <c r="B6" s="19">
        <v>6199.1970000000001</v>
      </c>
      <c r="E6" s="35">
        <v>2019</v>
      </c>
      <c r="F6" s="27">
        <v>6718</v>
      </c>
    </row>
    <row r="7" spans="1:6">
      <c r="A7" s="30">
        <v>2020</v>
      </c>
      <c r="B7" s="19">
        <v>6032.6379999999999</v>
      </c>
      <c r="E7" s="35">
        <v>2020</v>
      </c>
      <c r="F7" s="27">
        <v>6900</v>
      </c>
    </row>
    <row r="8" spans="1:6">
      <c r="A8" s="30">
        <v>2021</v>
      </c>
      <c r="B8" s="19">
        <v>5784.6840000000002</v>
      </c>
      <c r="E8" s="35">
        <v>2021</v>
      </c>
      <c r="F8" s="27">
        <v>20665</v>
      </c>
    </row>
    <row r="9" spans="1:6">
      <c r="A9" s="30">
        <v>2022</v>
      </c>
      <c r="B9" s="19">
        <v>5830.4780000000001</v>
      </c>
      <c r="E9" s="35">
        <v>2022</v>
      </c>
      <c r="F9" s="27">
        <v>39353</v>
      </c>
    </row>
    <row r="10" spans="1:6">
      <c r="A10" s="30">
        <v>2023</v>
      </c>
      <c r="B10" s="19">
        <v>5949.7269999999999</v>
      </c>
      <c r="E10" s="35">
        <v>2023</v>
      </c>
      <c r="F10" s="27">
        <v>98436</v>
      </c>
    </row>
    <row r="11" spans="1:6">
      <c r="A11" s="30">
        <v>2024</v>
      </c>
      <c r="B11" s="19">
        <v>5976.6559999999999</v>
      </c>
      <c r="E11" s="35">
        <v>2024</v>
      </c>
      <c r="F11" s="27">
        <v>85319</v>
      </c>
    </row>
    <row r="12" spans="1:6">
      <c r="A12" s="30" t="s">
        <v>159</v>
      </c>
      <c r="B12" s="19">
        <v>54082.122000000003</v>
      </c>
      <c r="E12" s="35" t="s">
        <v>151</v>
      </c>
      <c r="F12" s="27">
        <v>263260</v>
      </c>
    </row>
    <row r="15" spans="1:6" ht="21">
      <c r="A15" s="31" t="s">
        <v>152</v>
      </c>
      <c r="B15" s="31"/>
      <c r="E15" s="38" t="s">
        <v>157</v>
      </c>
      <c r="F15" s="38"/>
    </row>
    <row r="16" spans="1:6">
      <c r="A16" s="34" t="s">
        <v>110</v>
      </c>
      <c r="B16" s="37" t="s">
        <v>153</v>
      </c>
      <c r="E16" s="34" t="s">
        <v>110</v>
      </c>
      <c r="F16" s="19" t="s">
        <v>156</v>
      </c>
    </row>
    <row r="17" spans="1:6">
      <c r="A17" s="35">
        <v>2016</v>
      </c>
      <c r="B17" s="37">
        <v>0.14818089365361889</v>
      </c>
      <c r="E17" s="35">
        <v>2016</v>
      </c>
      <c r="F17" s="19">
        <v>134.06191837653</v>
      </c>
    </row>
    <row r="18" spans="1:6">
      <c r="A18" s="35">
        <v>2017</v>
      </c>
      <c r="B18" s="37">
        <v>0.15679044404050896</v>
      </c>
      <c r="E18" s="35">
        <v>2017</v>
      </c>
      <c r="F18" s="19">
        <v>127.03858145636282</v>
      </c>
    </row>
    <row r="19" spans="1:6">
      <c r="A19" s="35">
        <v>2018</v>
      </c>
      <c r="B19" s="37">
        <v>0.17100845373848764</v>
      </c>
      <c r="E19" s="35">
        <v>2018</v>
      </c>
      <c r="F19" s="19">
        <v>124.59188630341023</v>
      </c>
    </row>
    <row r="20" spans="1:6">
      <c r="A20" s="35">
        <v>2019</v>
      </c>
      <c r="B20" s="37">
        <v>0.19703916308464256</v>
      </c>
      <c r="E20" s="35">
        <v>2019</v>
      </c>
      <c r="F20" s="19">
        <v>121.30648474151273</v>
      </c>
    </row>
    <row r="21" spans="1:6">
      <c r="A21" s="35">
        <v>2020</v>
      </c>
      <c r="B21" s="37">
        <v>0.22600010106411461</v>
      </c>
      <c r="E21" s="35">
        <v>2020</v>
      </c>
      <c r="F21" s="19">
        <v>109.76550603377987</v>
      </c>
    </row>
    <row r="22" spans="1:6">
      <c r="A22" s="35">
        <v>2021</v>
      </c>
      <c r="B22" s="37">
        <v>0.26660516014603403</v>
      </c>
      <c r="E22" s="35">
        <v>2021</v>
      </c>
      <c r="F22" s="19">
        <v>110.80439059484888</v>
      </c>
    </row>
    <row r="23" spans="1:6">
      <c r="A23" s="35">
        <v>2022</v>
      </c>
      <c r="B23" s="37">
        <v>0.30934005471186415</v>
      </c>
      <c r="E23" s="35">
        <v>2022</v>
      </c>
      <c r="F23" s="19">
        <v>113.14783820076579</v>
      </c>
    </row>
    <row r="24" spans="1:6">
      <c r="A24" s="35">
        <v>2023</v>
      </c>
      <c r="B24" s="37"/>
      <c r="E24" s="35">
        <v>2023</v>
      </c>
      <c r="F24" s="19">
        <v>111.28431723715053</v>
      </c>
    </row>
    <row r="25" spans="1:6">
      <c r="A25" s="35">
        <v>2024</v>
      </c>
      <c r="B25" s="37"/>
      <c r="E25" s="35">
        <v>2024</v>
      </c>
      <c r="F25" s="19">
        <v>109.97302892106363</v>
      </c>
    </row>
    <row r="26" spans="1:6">
      <c r="A26" s="35" t="s">
        <v>151</v>
      </c>
      <c r="B26" s="37">
        <v>0.21070918149132439</v>
      </c>
      <c r="E26" s="35" t="s">
        <v>151</v>
      </c>
      <c r="F26" s="19">
        <v>1061.9739518654246</v>
      </c>
    </row>
  </sheetData>
  <mergeCells count="4">
    <mergeCell ref="A1:B1"/>
    <mergeCell ref="A15:B15"/>
    <mergeCell ref="E1:F1"/>
    <mergeCell ref="E15:F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7EAA-6C26-354A-BD96-D063AF906BCC}">
  <dimension ref="A1:AE34"/>
  <sheetViews>
    <sheetView zoomScale="81" zoomScaleNormal="81" workbookViewId="0">
      <selection activeCell="AE9" sqref="AE9"/>
    </sheetView>
  </sheetViews>
  <sheetFormatPr baseColWidth="10" defaultRowHeight="15"/>
  <cols>
    <col min="1" max="1" width="6.6640625" customWidth="1"/>
  </cols>
  <sheetData>
    <row r="1" spans="1:31" ht="26">
      <c r="A1" s="40" t="s">
        <v>121</v>
      </c>
      <c r="B1" s="40"/>
      <c r="C1" s="40"/>
    </row>
    <row r="3" spans="1:31" ht="21">
      <c r="A3" s="25" t="s">
        <v>160</v>
      </c>
      <c r="B3" s="25" t="s">
        <v>122</v>
      </c>
    </row>
    <row r="4" spans="1:31" ht="19">
      <c r="A4" s="26" t="s">
        <v>161</v>
      </c>
      <c r="B4" s="76" t="s">
        <v>162</v>
      </c>
      <c r="C4" s="76"/>
      <c r="D4" s="76"/>
      <c r="E4" s="76"/>
      <c r="F4" s="76"/>
      <c r="G4" s="76"/>
      <c r="H4" s="76"/>
      <c r="I4" s="76"/>
      <c r="J4" s="76"/>
      <c r="K4" s="76"/>
      <c r="L4" s="76"/>
      <c r="M4" s="76"/>
    </row>
    <row r="5" spans="1:31" ht="21">
      <c r="B5" s="76"/>
      <c r="C5" s="76"/>
      <c r="D5" s="76"/>
      <c r="E5" s="76"/>
      <c r="F5" s="76"/>
      <c r="G5" s="76"/>
      <c r="H5" s="76"/>
      <c r="I5" s="76"/>
      <c r="J5" s="76"/>
      <c r="K5" s="76"/>
      <c r="L5" s="76"/>
      <c r="M5" s="76"/>
      <c r="AE5" s="16"/>
    </row>
    <row r="6" spans="1:31" ht="21">
      <c r="AE6" s="16"/>
    </row>
    <row r="7" spans="1:31" ht="21">
      <c r="A7" s="25" t="s">
        <v>163</v>
      </c>
      <c r="B7" s="25" t="s">
        <v>123</v>
      </c>
      <c r="C7" s="25"/>
      <c r="D7" s="25"/>
      <c r="E7" s="25"/>
      <c r="F7" s="25"/>
      <c r="G7" s="25"/>
      <c r="H7" s="25"/>
      <c r="AE7" s="16"/>
    </row>
    <row r="8" spans="1:31" ht="21">
      <c r="A8" s="26" t="s">
        <v>161</v>
      </c>
      <c r="B8" s="77" t="s">
        <v>164</v>
      </c>
      <c r="C8" s="77"/>
      <c r="D8" s="77"/>
      <c r="E8" s="77"/>
      <c r="F8" s="77"/>
      <c r="G8" s="77"/>
      <c r="H8" s="77"/>
      <c r="I8" s="77"/>
      <c r="J8" s="77"/>
      <c r="K8" s="77"/>
      <c r="L8" s="77"/>
      <c r="M8" s="77"/>
      <c r="AE8" s="16"/>
    </row>
    <row r="9" spans="1:31" ht="21">
      <c r="B9" s="77"/>
      <c r="C9" s="77"/>
      <c r="D9" s="77"/>
      <c r="E9" s="77"/>
      <c r="F9" s="77"/>
      <c r="G9" s="77"/>
      <c r="H9" s="77"/>
      <c r="I9" s="77"/>
      <c r="J9" s="77"/>
      <c r="K9" s="77"/>
      <c r="L9" s="77"/>
      <c r="M9" s="77"/>
      <c r="AE9" s="16"/>
    </row>
    <row r="11" spans="1:31" ht="21">
      <c r="A11" s="25" t="s">
        <v>165</v>
      </c>
      <c r="B11" s="25" t="s">
        <v>124</v>
      </c>
      <c r="C11" s="25"/>
      <c r="D11" s="25"/>
      <c r="E11" s="25"/>
      <c r="F11" s="25"/>
      <c r="G11" s="25"/>
      <c r="H11" s="25"/>
    </row>
    <row r="12" spans="1:31" ht="15" customHeight="1">
      <c r="A12" s="26" t="s">
        <v>161</v>
      </c>
      <c r="B12" s="76" t="s">
        <v>166</v>
      </c>
      <c r="C12" s="76"/>
      <c r="D12" s="76"/>
      <c r="E12" s="76"/>
      <c r="F12" s="76"/>
      <c r="G12" s="76"/>
      <c r="H12" s="76"/>
      <c r="I12" s="76"/>
      <c r="J12" s="76"/>
      <c r="K12" s="76"/>
      <c r="L12" s="76"/>
      <c r="M12" s="76"/>
    </row>
    <row r="13" spans="1:31" ht="15" customHeight="1">
      <c r="B13" s="76"/>
      <c r="C13" s="76"/>
      <c r="D13" s="76"/>
      <c r="E13" s="76"/>
      <c r="F13" s="76"/>
      <c r="G13" s="76"/>
      <c r="H13" s="76"/>
      <c r="I13" s="76"/>
      <c r="J13" s="76"/>
      <c r="K13" s="76"/>
      <c r="L13" s="76"/>
      <c r="M13" s="76"/>
    </row>
    <row r="14" spans="1:31" ht="15" customHeight="1">
      <c r="B14" s="76"/>
      <c r="C14" s="76"/>
      <c r="D14" s="76"/>
      <c r="E14" s="76"/>
      <c r="F14" s="76"/>
      <c r="G14" s="76"/>
      <c r="H14" s="76"/>
      <c r="I14" s="76"/>
      <c r="J14" s="76"/>
      <c r="K14" s="76"/>
      <c r="L14" s="76"/>
      <c r="M14" s="76"/>
    </row>
    <row r="15" spans="1:31">
      <c r="B15" s="76"/>
      <c r="C15" s="76"/>
      <c r="D15" s="76"/>
      <c r="E15" s="76"/>
      <c r="F15" s="76"/>
      <c r="G15" s="76"/>
      <c r="H15" s="76"/>
      <c r="I15" s="76"/>
      <c r="J15" s="76"/>
      <c r="K15" s="76"/>
      <c r="L15" s="76"/>
      <c r="M15" s="76"/>
    </row>
    <row r="17" spans="1:13" ht="21">
      <c r="A17" s="25" t="s">
        <v>167</v>
      </c>
      <c r="B17" s="25" t="s">
        <v>125</v>
      </c>
    </row>
    <row r="18" spans="1:13" ht="19" customHeight="1">
      <c r="A18" s="26" t="s">
        <v>161</v>
      </c>
      <c r="B18" s="76" t="s">
        <v>168</v>
      </c>
      <c r="C18" s="76"/>
      <c r="D18" s="76"/>
      <c r="E18" s="76"/>
      <c r="F18" s="76"/>
      <c r="G18" s="76"/>
      <c r="H18" s="76"/>
      <c r="I18" s="76"/>
      <c r="J18" s="76"/>
      <c r="K18" s="76"/>
      <c r="L18" s="76"/>
      <c r="M18" s="76"/>
    </row>
    <row r="19" spans="1:13" ht="15" customHeight="1">
      <c r="B19" s="76"/>
      <c r="C19" s="76"/>
      <c r="D19" s="76"/>
      <c r="E19" s="76"/>
      <c r="F19" s="76"/>
      <c r="G19" s="76"/>
      <c r="H19" s="76"/>
      <c r="I19" s="76"/>
      <c r="J19" s="76"/>
      <c r="K19" s="76"/>
      <c r="L19" s="76"/>
      <c r="M19" s="76"/>
    </row>
    <row r="20" spans="1:13" ht="15" customHeight="1">
      <c r="B20" s="76"/>
      <c r="C20" s="76"/>
      <c r="D20" s="76"/>
      <c r="E20" s="76"/>
      <c r="F20" s="76"/>
      <c r="G20" s="76"/>
      <c r="H20" s="76"/>
      <c r="I20" s="76"/>
      <c r="J20" s="76"/>
      <c r="K20" s="76"/>
      <c r="L20" s="76"/>
      <c r="M20" s="76"/>
    </row>
    <row r="21" spans="1:13">
      <c r="B21" s="76"/>
      <c r="C21" s="76"/>
      <c r="D21" s="76"/>
      <c r="E21" s="76"/>
      <c r="F21" s="76"/>
      <c r="G21" s="76"/>
      <c r="H21" s="76"/>
      <c r="I21" s="76"/>
      <c r="J21" s="76"/>
      <c r="K21" s="76"/>
      <c r="L21" s="76"/>
      <c r="M21" s="76"/>
    </row>
    <row r="23" spans="1:13" ht="21">
      <c r="A23" s="25" t="s">
        <v>169</v>
      </c>
      <c r="B23" s="25" t="s">
        <v>126</v>
      </c>
    </row>
    <row r="24" spans="1:13" ht="19">
      <c r="A24" s="26" t="s">
        <v>161</v>
      </c>
      <c r="B24" s="79" t="s">
        <v>170</v>
      </c>
      <c r="C24" s="78"/>
      <c r="D24" s="78"/>
      <c r="E24" s="78"/>
      <c r="F24" s="78"/>
      <c r="G24" s="78"/>
      <c r="H24" s="78"/>
      <c r="I24" s="78"/>
      <c r="J24" s="78"/>
      <c r="K24" s="78"/>
      <c r="L24" s="78"/>
      <c r="M24" s="78"/>
    </row>
    <row r="25" spans="1:13">
      <c r="B25" s="78"/>
      <c r="C25" s="78"/>
      <c r="D25" s="78"/>
      <c r="E25" s="78"/>
      <c r="F25" s="78"/>
      <c r="G25" s="78"/>
      <c r="H25" s="78"/>
      <c r="I25" s="78"/>
      <c r="J25" s="78"/>
      <c r="K25" s="78"/>
      <c r="L25" s="78"/>
      <c r="M25" s="78"/>
    </row>
    <row r="26" spans="1:13">
      <c r="B26" s="78"/>
      <c r="C26" s="78"/>
      <c r="D26" s="78"/>
      <c r="E26" s="78"/>
      <c r="F26" s="78"/>
      <c r="G26" s="78"/>
      <c r="H26" s="78"/>
      <c r="I26" s="78"/>
      <c r="J26" s="78"/>
      <c r="K26" s="78"/>
      <c r="L26" s="78"/>
      <c r="M26" s="78"/>
    </row>
    <row r="27" spans="1:13">
      <c r="B27" s="78"/>
      <c r="C27" s="78"/>
      <c r="D27" s="78"/>
      <c r="E27" s="78"/>
      <c r="F27" s="78"/>
      <c r="G27" s="78"/>
      <c r="H27" s="78"/>
      <c r="I27" s="78"/>
      <c r="J27" s="78"/>
      <c r="K27" s="78"/>
      <c r="L27" s="78"/>
      <c r="M27" s="78"/>
    </row>
    <row r="28" spans="1:13">
      <c r="B28" s="78"/>
      <c r="C28" s="78"/>
      <c r="D28" s="78"/>
      <c r="E28" s="78"/>
      <c r="F28" s="78"/>
      <c r="G28" s="78"/>
      <c r="H28" s="78"/>
      <c r="I28" s="78"/>
      <c r="J28" s="78"/>
      <c r="K28" s="78"/>
      <c r="L28" s="78"/>
      <c r="M28" s="78"/>
    </row>
    <row r="29" spans="1:13">
      <c r="B29" s="78"/>
      <c r="C29" s="78"/>
      <c r="D29" s="78"/>
      <c r="E29" s="78"/>
      <c r="F29" s="78"/>
      <c r="G29" s="78"/>
      <c r="H29" s="78"/>
      <c r="I29" s="78"/>
      <c r="J29" s="78"/>
      <c r="K29" s="78"/>
      <c r="L29" s="78"/>
      <c r="M29" s="78"/>
    </row>
    <row r="30" spans="1:13">
      <c r="B30" s="78"/>
      <c r="C30" s="78"/>
      <c r="D30" s="78"/>
      <c r="E30" s="78"/>
      <c r="F30" s="78"/>
      <c r="G30" s="78"/>
      <c r="H30" s="78"/>
      <c r="I30" s="78"/>
      <c r="J30" s="78"/>
      <c r="K30" s="78"/>
      <c r="L30" s="78"/>
      <c r="M30" s="78"/>
    </row>
    <row r="31" spans="1:13">
      <c r="B31" s="78"/>
      <c r="C31" s="78"/>
      <c r="D31" s="78"/>
      <c r="E31" s="78"/>
      <c r="F31" s="78"/>
      <c r="G31" s="78"/>
      <c r="H31" s="78"/>
      <c r="I31" s="78"/>
      <c r="J31" s="78"/>
      <c r="K31" s="78"/>
      <c r="L31" s="78"/>
      <c r="M31" s="78"/>
    </row>
    <row r="32" spans="1:13">
      <c r="B32" s="78"/>
      <c r="C32" s="78"/>
      <c r="D32" s="78"/>
      <c r="E32" s="78"/>
      <c r="F32" s="78"/>
      <c r="G32" s="78"/>
      <c r="H32" s="78"/>
      <c r="I32" s="78"/>
      <c r="J32" s="78"/>
      <c r="K32" s="78"/>
      <c r="L32" s="78"/>
      <c r="M32" s="78"/>
    </row>
    <row r="33" spans="2:13">
      <c r="B33" s="78"/>
      <c r="C33" s="78"/>
      <c r="D33" s="78"/>
      <c r="E33" s="78"/>
      <c r="F33" s="78"/>
      <c r="G33" s="78"/>
      <c r="H33" s="78"/>
      <c r="I33" s="78"/>
      <c r="J33" s="78"/>
      <c r="K33" s="78"/>
      <c r="L33" s="78"/>
      <c r="M33" s="78"/>
    </row>
    <row r="34" spans="2:13">
      <c r="B34" s="78"/>
      <c r="C34" s="78"/>
      <c r="D34" s="78"/>
      <c r="E34" s="78"/>
      <c r="F34" s="78"/>
      <c r="G34" s="78"/>
      <c r="H34" s="78"/>
      <c r="I34" s="78"/>
      <c r="J34" s="78"/>
      <c r="K34" s="78"/>
      <c r="L34" s="78"/>
      <c r="M34" s="78"/>
    </row>
  </sheetData>
  <mergeCells count="6">
    <mergeCell ref="B18:M21"/>
    <mergeCell ref="B24:M34"/>
    <mergeCell ref="A1:C1"/>
    <mergeCell ref="B4:M5"/>
    <mergeCell ref="B8:M9"/>
    <mergeCell ref="B12:M1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3A58-DED2-1442-8A39-A7188F713836}">
  <dimension ref="A1:B9"/>
  <sheetViews>
    <sheetView workbookViewId="0">
      <selection activeCell="B7" sqref="B7"/>
    </sheetView>
  </sheetViews>
  <sheetFormatPr baseColWidth="10" defaultRowHeight="15"/>
  <cols>
    <col min="1" max="1" width="30.83203125" customWidth="1"/>
    <col min="2" max="2" width="32.6640625" customWidth="1"/>
  </cols>
  <sheetData>
    <row r="1" spans="1:2" ht="21">
      <c r="A1" s="29" t="s">
        <v>127</v>
      </c>
      <c r="B1" s="29" t="s">
        <v>128</v>
      </c>
    </row>
    <row r="2" spans="1:2" ht="21">
      <c r="A2" s="16" t="s">
        <v>129</v>
      </c>
      <c r="B2" s="16" t="s">
        <v>130</v>
      </c>
    </row>
    <row r="3" spans="1:2" ht="21">
      <c r="A3" s="16" t="s">
        <v>131</v>
      </c>
      <c r="B3" s="16" t="s">
        <v>132</v>
      </c>
    </row>
    <row r="4" spans="1:2" ht="21">
      <c r="A4" s="16" t="s">
        <v>133</v>
      </c>
      <c r="B4" s="16" t="s">
        <v>134</v>
      </c>
    </row>
    <row r="5" spans="1:2" ht="21">
      <c r="A5" s="16" t="s">
        <v>135</v>
      </c>
      <c r="B5" s="16" t="s">
        <v>136</v>
      </c>
    </row>
    <row r="6" spans="1:2" ht="21">
      <c r="A6" s="16" t="s">
        <v>137</v>
      </c>
      <c r="B6" s="16" t="s">
        <v>138</v>
      </c>
    </row>
    <row r="7" spans="1:2" ht="21">
      <c r="A7" s="16" t="s">
        <v>139</v>
      </c>
      <c r="B7" s="16" t="s">
        <v>140</v>
      </c>
    </row>
    <row r="9" spans="1:2" ht="21">
      <c r="A9" s="16" t="s">
        <v>141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6" ma:contentTypeDescription="Create a new document." ma:contentTypeScope="" ma:versionID="29ebb019d354d671b53245c09b1e2d80">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a95247a4-6a6b-40fb-87b6-0fb2f012c536" targetNamespace="http://schemas.microsoft.com/office/2006/metadata/properties" ma:root="true" ma:fieldsID="25bdb6a5bc4ffbbe42be2b4704fa052c" ns1:_="" ns2:_="" ns3:_="" ns4:_="" ns5:_="">
    <xsd:import namespace="http://schemas.microsoft.com/sharepoint/v3"/>
    <xsd:import namespace="b98728ac-f998-415c-abee-6b046fb1441e"/>
    <xsd:import namespace="d869c146-c82e-4435-92e4-da91542262fd"/>
    <xsd:import namespace="d81c2681-db7b-4a56-9abd-a3238a78f6b2"/>
    <xsd:import namespace="a95247a4-6a6b-40fb-87b6-0fb2f012c536"/>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95247a4-6a6b-40fb-87b6-0fb2f012c536"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81c2681-db7b-4a56-9abd-a3238a78f6b2">
      <Terms xmlns="http://schemas.microsoft.com/office/infopath/2007/PartnerControls"/>
    </lcf76f155ced4ddcb4097134ff3c332f>
    <TaxCatchAll xmlns="a95247a4-6a6b-40fb-87b6-0fb2f012c53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67769E-E388-4717-9ADC-A5755500F1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8728ac-f998-415c-abee-6b046fb1441e"/>
    <ds:schemaRef ds:uri="d869c146-c82e-4435-92e4-da91542262fd"/>
    <ds:schemaRef ds:uri="d81c2681-db7b-4a56-9abd-a3238a78f6b2"/>
    <ds:schemaRef ds:uri="a95247a4-6a6b-40fb-87b6-0fb2f012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F4517F-4B53-4724-8E83-A3EFD5678BC6}">
  <ds:schemaRefs>
    <ds:schemaRef ds:uri="http://schemas.microsoft.com/office/2006/metadata/properties"/>
    <ds:schemaRef ds:uri="http://schemas.microsoft.com/office/infopath/2007/PartnerControls"/>
    <ds:schemaRef ds:uri="http://schemas.microsoft.com/sharepoint/v3"/>
    <ds:schemaRef ds:uri="d81c2681-db7b-4a56-9abd-a3238a78f6b2"/>
    <ds:schemaRef ds:uri="a95247a4-6a6b-40fb-87b6-0fb2f012c536"/>
  </ds:schemaRefs>
</ds:datastoreItem>
</file>

<file path=customXml/itemProps3.xml><?xml version="1.0" encoding="utf-8"?>
<ds:datastoreItem xmlns:ds="http://schemas.openxmlformats.org/officeDocument/2006/customXml" ds:itemID="{475A24D5-EFC2-4239-8AC0-BD4DA811BEEE}">
  <ds:schemaRefs>
    <ds:schemaRef ds:uri="http://schemas.microsoft.com/sharepoint/v3/contenttype/forms"/>
  </ds:schemaRefs>
</ds:datastoreItem>
</file>

<file path=docMetadata/LabelInfo.xml><?xml version="1.0" encoding="utf-8"?>
<clbl:labelList xmlns:clbl="http://schemas.microsoft.com/office/2020/mipLabelMetadata">
  <clbl:label id="{2e6ba7ff-9897-4e65-9803-3be34fd9cf5a}" enabled="1" method="Privileged" siteId="{8c3c81bc-2b3c-44af-b3f7-6f620b3910ee}"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Title page</vt:lpstr>
      <vt:lpstr>AUS</vt:lpstr>
      <vt:lpstr>NSW</vt:lpstr>
      <vt:lpstr>VIC</vt:lpstr>
      <vt:lpstr>QLD</vt:lpstr>
      <vt:lpstr>WA</vt:lpstr>
      <vt:lpstr>SA</vt:lpstr>
      <vt:lpstr>TAS</vt:lpstr>
      <vt:lpstr>NT</vt:lpstr>
      <vt:lpstr>State summary</vt:lpstr>
      <vt:lpstr>Energy_Data</vt:lpstr>
      <vt:lpstr>Renewable_Data</vt:lpstr>
      <vt:lpstr>EV_Data</vt:lpstr>
      <vt:lpstr>Emissions_Data</vt:lpstr>
      <vt:lpstr>Master_Data</vt:lpstr>
      <vt:lpstr>Dashboard</vt:lpstr>
      <vt:lpstr>Pivot_Tables</vt:lpstr>
      <vt:lpstr>Research_Questions</vt:lpstr>
      <vt:lpstr>Data_Quality_Checks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AlexSTOCK</dc:creator>
  <cp:lastModifiedBy>Syed Akif Hasan</cp:lastModifiedBy>
  <dcterms:created xsi:type="dcterms:W3CDTF">2025-07-08T03:38:50Z</dcterms:created>
  <dcterms:modified xsi:type="dcterms:W3CDTF">2026-06-07T06:57:22Z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y fmtid="{D5CDD505-2E9C-101B-9397-08002B2CF9AE}" pid="3" name="MediaServiceImageTags">
    <vt:lpwstr/>
  </property>
</Properties>
</file>